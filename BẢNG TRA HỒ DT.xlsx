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Company\8.SourceCode\3.Projects\20250601_AHD_QuanTrac\"/>
    </mc:Choice>
  </mc:AlternateContent>
  <xr:revisionPtr revIDLastSave="0" documentId="13_ncr:1_{C4329AC4-1FB7-4633-ADEC-F64EA71940A2}" xr6:coauthVersionLast="47" xr6:coauthVersionMax="47" xr10:uidLastSave="{00000000-0000-0000-0000-000000000000}"/>
  <bookViews>
    <workbookView xWindow="-120" yWindow="-120" windowWidth="29040" windowHeight="15990" xr2:uid="{8553B8D1-12C8-477D-8F4F-9A1E48B6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D5" i="1" s="1"/>
  <c r="E5" i="1" s="1"/>
  <c r="F5" i="1" s="1"/>
  <c r="G5" i="1" s="1"/>
  <c r="H5" i="1" s="1"/>
  <c r="I5" i="1" s="1"/>
  <c r="J5" i="1" s="1"/>
  <c r="K5" i="1" s="1"/>
  <c r="CU22" i="1"/>
  <c r="CO18" i="1"/>
  <c r="CP18" i="1" s="1"/>
  <c r="CQ18" i="1" s="1"/>
  <c r="CR18" i="1" s="1"/>
  <c r="CS18" i="1" s="1"/>
  <c r="CT18" i="1" s="1"/>
  <c r="CU18" i="1" s="1"/>
  <c r="CV18" i="1" s="1"/>
  <c r="CW18" i="1" s="1"/>
  <c r="CE18" i="1"/>
  <c r="CF18" i="1" s="1"/>
  <c r="CG18" i="1" s="1"/>
  <c r="CH18" i="1" s="1"/>
  <c r="CI18" i="1" s="1"/>
  <c r="CJ18" i="1" s="1"/>
  <c r="CK18" i="1" s="1"/>
  <c r="CL18" i="1" s="1"/>
  <c r="CM18" i="1" s="1"/>
  <c r="BU18" i="1"/>
  <c r="BV18" i="1" s="1"/>
  <c r="BW18" i="1" s="1"/>
  <c r="BX18" i="1" s="1"/>
  <c r="BY18" i="1" s="1"/>
  <c r="BZ18" i="1" s="1"/>
  <c r="CA18" i="1" s="1"/>
  <c r="CB18" i="1" s="1"/>
  <c r="CC18" i="1" s="1"/>
  <c r="BA18" i="1"/>
  <c r="BB18" i="1" s="1"/>
  <c r="BC18" i="1" s="1"/>
  <c r="BD18" i="1" s="1"/>
  <c r="BE18" i="1" s="1"/>
  <c r="BF18" i="1" s="1"/>
  <c r="BG18" i="1" s="1"/>
  <c r="BH18" i="1" s="1"/>
  <c r="BI18" i="1" s="1"/>
  <c r="AQ18" i="1"/>
  <c r="AR18" i="1" s="1"/>
  <c r="AS18" i="1" s="1"/>
  <c r="AT18" i="1" s="1"/>
  <c r="AU18" i="1" s="1"/>
  <c r="AV18" i="1" s="1"/>
  <c r="AW18" i="1" s="1"/>
  <c r="AX18" i="1" s="1"/>
  <c r="AY18" i="1" s="1"/>
  <c r="AG18" i="1"/>
  <c r="AH18" i="1" s="1"/>
  <c r="AI18" i="1" s="1"/>
  <c r="AJ18" i="1" s="1"/>
  <c r="AK18" i="1" s="1"/>
  <c r="AL18" i="1" s="1"/>
  <c r="AM18" i="1" s="1"/>
  <c r="AN18" i="1" s="1"/>
  <c r="AO18" i="1" s="1"/>
  <c r="W18" i="1"/>
  <c r="X18" i="1" s="1"/>
  <c r="Y18" i="1" s="1"/>
  <c r="Z18" i="1" s="1"/>
  <c r="AA18" i="1" s="1"/>
  <c r="AB18" i="1" s="1"/>
  <c r="AC18" i="1" s="1"/>
  <c r="AD18" i="1" s="1"/>
  <c r="AE18" i="1" s="1"/>
  <c r="M18" i="1"/>
  <c r="N18" i="1" s="1"/>
  <c r="O18" i="1" s="1"/>
  <c r="P18" i="1" s="1"/>
  <c r="Q18" i="1" s="1"/>
  <c r="R18" i="1" s="1"/>
  <c r="S18" i="1" s="1"/>
  <c r="T18" i="1" s="1"/>
  <c r="U18" i="1" s="1"/>
  <c r="C18" i="1"/>
  <c r="D18" i="1" s="1"/>
  <c r="E18" i="1" s="1"/>
  <c r="F18" i="1" s="1"/>
  <c r="G18" i="1" s="1"/>
  <c r="H18" i="1" s="1"/>
  <c r="I18" i="1" s="1"/>
  <c r="J18" i="1" s="1"/>
  <c r="K18" i="1" s="1"/>
  <c r="CO17" i="1"/>
  <c r="CP17" i="1" s="1"/>
  <c r="CQ17" i="1" s="1"/>
  <c r="CR17" i="1" s="1"/>
  <c r="CS17" i="1" s="1"/>
  <c r="CT17" i="1" s="1"/>
  <c r="CU17" i="1" s="1"/>
  <c r="CV17" i="1" s="1"/>
  <c r="CW17" i="1" s="1"/>
  <c r="CE17" i="1"/>
  <c r="CF17" i="1" s="1"/>
  <c r="CG17" i="1" s="1"/>
  <c r="CH17" i="1" s="1"/>
  <c r="CI17" i="1" s="1"/>
  <c r="CJ17" i="1" s="1"/>
  <c r="CK17" i="1" s="1"/>
  <c r="CL17" i="1" s="1"/>
  <c r="CM17" i="1" s="1"/>
  <c r="BU17" i="1"/>
  <c r="BV17" i="1" s="1"/>
  <c r="BW17" i="1" s="1"/>
  <c r="BX17" i="1" s="1"/>
  <c r="BY17" i="1" s="1"/>
  <c r="BZ17" i="1" s="1"/>
  <c r="CA17" i="1" s="1"/>
  <c r="CB17" i="1" s="1"/>
  <c r="CC17" i="1" s="1"/>
  <c r="BK17" i="1"/>
  <c r="BL17" i="1" s="1"/>
  <c r="BM17" i="1" s="1"/>
  <c r="BN17" i="1" s="1"/>
  <c r="BO17" i="1" s="1"/>
  <c r="BP17" i="1" s="1"/>
  <c r="BQ17" i="1" s="1"/>
  <c r="BR17" i="1" s="1"/>
  <c r="BS17" i="1" s="1"/>
  <c r="BA17" i="1"/>
  <c r="BB17" i="1" s="1"/>
  <c r="BC17" i="1" s="1"/>
  <c r="BD17" i="1" s="1"/>
  <c r="BE17" i="1" s="1"/>
  <c r="BF17" i="1" s="1"/>
  <c r="BG17" i="1" s="1"/>
  <c r="BH17" i="1" s="1"/>
  <c r="BI17" i="1" s="1"/>
  <c r="AQ17" i="1"/>
  <c r="AR17" i="1" s="1"/>
  <c r="AS17" i="1" s="1"/>
  <c r="AT17" i="1" s="1"/>
  <c r="AU17" i="1" s="1"/>
  <c r="AV17" i="1" s="1"/>
  <c r="AW17" i="1" s="1"/>
  <c r="AX17" i="1" s="1"/>
  <c r="AY17" i="1" s="1"/>
  <c r="AG17" i="1"/>
  <c r="AH17" i="1" s="1"/>
  <c r="AI17" i="1" s="1"/>
  <c r="AJ17" i="1" s="1"/>
  <c r="AK17" i="1" s="1"/>
  <c r="AL17" i="1" s="1"/>
  <c r="AM17" i="1" s="1"/>
  <c r="AN17" i="1" s="1"/>
  <c r="AO17" i="1" s="1"/>
  <c r="W17" i="1"/>
  <c r="X17" i="1" s="1"/>
  <c r="Y17" i="1" s="1"/>
  <c r="Z17" i="1" s="1"/>
  <c r="AA17" i="1" s="1"/>
  <c r="AB17" i="1" s="1"/>
  <c r="AC17" i="1" s="1"/>
  <c r="AD17" i="1" s="1"/>
  <c r="AE17" i="1" s="1"/>
  <c r="M17" i="1"/>
  <c r="N17" i="1" s="1"/>
  <c r="O17" i="1" s="1"/>
  <c r="P17" i="1" s="1"/>
  <c r="Q17" i="1" s="1"/>
  <c r="R17" i="1" s="1"/>
  <c r="S17" i="1" s="1"/>
  <c r="T17" i="1" s="1"/>
  <c r="U17" i="1" s="1"/>
  <c r="C17" i="1"/>
  <c r="D17" i="1" s="1"/>
  <c r="E17" i="1" s="1"/>
  <c r="F17" i="1" s="1"/>
  <c r="G17" i="1" s="1"/>
  <c r="H17" i="1" s="1"/>
  <c r="I17" i="1" s="1"/>
  <c r="J17" i="1" s="1"/>
  <c r="K17" i="1" s="1"/>
  <c r="CO16" i="1"/>
  <c r="CP16" i="1" s="1"/>
  <c r="CQ16" i="1" s="1"/>
  <c r="CR16" i="1" s="1"/>
  <c r="CS16" i="1" s="1"/>
  <c r="CT16" i="1" s="1"/>
  <c r="CU16" i="1" s="1"/>
  <c r="CV16" i="1" s="1"/>
  <c r="CW16" i="1" s="1"/>
  <c r="CE16" i="1"/>
  <c r="CF16" i="1" s="1"/>
  <c r="CG16" i="1" s="1"/>
  <c r="CH16" i="1" s="1"/>
  <c r="CI16" i="1" s="1"/>
  <c r="CJ16" i="1" s="1"/>
  <c r="CK16" i="1" s="1"/>
  <c r="CL16" i="1" s="1"/>
  <c r="CM16" i="1" s="1"/>
  <c r="BU16" i="1"/>
  <c r="BV16" i="1" s="1"/>
  <c r="BW16" i="1" s="1"/>
  <c r="BX16" i="1" s="1"/>
  <c r="BY16" i="1" s="1"/>
  <c r="BZ16" i="1" s="1"/>
  <c r="CA16" i="1" s="1"/>
  <c r="CB16" i="1" s="1"/>
  <c r="CC16" i="1" s="1"/>
  <c r="BK16" i="1"/>
  <c r="BL16" i="1" s="1"/>
  <c r="BM16" i="1" s="1"/>
  <c r="BN16" i="1" s="1"/>
  <c r="BO16" i="1" s="1"/>
  <c r="BP16" i="1" s="1"/>
  <c r="BQ16" i="1" s="1"/>
  <c r="BR16" i="1" s="1"/>
  <c r="BS16" i="1" s="1"/>
  <c r="BA16" i="1"/>
  <c r="BB16" i="1" s="1"/>
  <c r="BC16" i="1" s="1"/>
  <c r="BD16" i="1" s="1"/>
  <c r="BE16" i="1" s="1"/>
  <c r="BF16" i="1" s="1"/>
  <c r="BG16" i="1" s="1"/>
  <c r="BH16" i="1" s="1"/>
  <c r="BI16" i="1" s="1"/>
  <c r="AQ16" i="1"/>
  <c r="AR16" i="1" s="1"/>
  <c r="AS16" i="1" s="1"/>
  <c r="AT16" i="1" s="1"/>
  <c r="AU16" i="1" s="1"/>
  <c r="AV16" i="1" s="1"/>
  <c r="AW16" i="1" s="1"/>
  <c r="AX16" i="1" s="1"/>
  <c r="AY16" i="1" s="1"/>
  <c r="AG16" i="1"/>
  <c r="AH16" i="1" s="1"/>
  <c r="AI16" i="1" s="1"/>
  <c r="AJ16" i="1" s="1"/>
  <c r="AK16" i="1" s="1"/>
  <c r="AL16" i="1" s="1"/>
  <c r="AM16" i="1" s="1"/>
  <c r="AN16" i="1" s="1"/>
  <c r="AO16" i="1" s="1"/>
  <c r="W16" i="1"/>
  <c r="X16" i="1" s="1"/>
  <c r="Y16" i="1" s="1"/>
  <c r="Z16" i="1" s="1"/>
  <c r="AA16" i="1" s="1"/>
  <c r="AB16" i="1" s="1"/>
  <c r="AC16" i="1" s="1"/>
  <c r="AD16" i="1" s="1"/>
  <c r="AE16" i="1" s="1"/>
  <c r="M16" i="1"/>
  <c r="N16" i="1" s="1"/>
  <c r="O16" i="1" s="1"/>
  <c r="P16" i="1" s="1"/>
  <c r="Q16" i="1" s="1"/>
  <c r="R16" i="1" s="1"/>
  <c r="S16" i="1" s="1"/>
  <c r="T16" i="1" s="1"/>
  <c r="U16" i="1" s="1"/>
  <c r="C16" i="1"/>
  <c r="D16" i="1" s="1"/>
  <c r="E16" i="1" s="1"/>
  <c r="F16" i="1" s="1"/>
  <c r="G16" i="1" s="1"/>
  <c r="H16" i="1" s="1"/>
  <c r="I16" i="1" s="1"/>
  <c r="J16" i="1" s="1"/>
  <c r="K16" i="1" s="1"/>
  <c r="CO15" i="1"/>
  <c r="CP15" i="1" s="1"/>
  <c r="CQ15" i="1" s="1"/>
  <c r="CR15" i="1" s="1"/>
  <c r="CS15" i="1" s="1"/>
  <c r="CT15" i="1" s="1"/>
  <c r="CU15" i="1" s="1"/>
  <c r="CV15" i="1" s="1"/>
  <c r="CW15" i="1" s="1"/>
  <c r="CE15" i="1"/>
  <c r="CF15" i="1" s="1"/>
  <c r="CG15" i="1" s="1"/>
  <c r="CH15" i="1" s="1"/>
  <c r="CI15" i="1" s="1"/>
  <c r="CJ15" i="1" s="1"/>
  <c r="CK15" i="1" s="1"/>
  <c r="CL15" i="1" s="1"/>
  <c r="CM15" i="1" s="1"/>
  <c r="BU15" i="1"/>
  <c r="BV15" i="1" s="1"/>
  <c r="BW15" i="1" s="1"/>
  <c r="BX15" i="1" s="1"/>
  <c r="BY15" i="1" s="1"/>
  <c r="BZ15" i="1" s="1"/>
  <c r="CA15" i="1" s="1"/>
  <c r="CB15" i="1" s="1"/>
  <c r="CC15" i="1" s="1"/>
  <c r="BK15" i="1"/>
  <c r="BL15" i="1" s="1"/>
  <c r="BM15" i="1" s="1"/>
  <c r="BN15" i="1" s="1"/>
  <c r="BO15" i="1" s="1"/>
  <c r="BP15" i="1" s="1"/>
  <c r="BQ15" i="1" s="1"/>
  <c r="BR15" i="1" s="1"/>
  <c r="BS15" i="1" s="1"/>
  <c r="BA15" i="1"/>
  <c r="BB15" i="1" s="1"/>
  <c r="BC15" i="1" s="1"/>
  <c r="BD15" i="1" s="1"/>
  <c r="BE15" i="1" s="1"/>
  <c r="BF15" i="1" s="1"/>
  <c r="BG15" i="1" s="1"/>
  <c r="BH15" i="1" s="1"/>
  <c r="BI15" i="1" s="1"/>
  <c r="AQ15" i="1"/>
  <c r="AR15" i="1" s="1"/>
  <c r="AS15" i="1" s="1"/>
  <c r="AT15" i="1" s="1"/>
  <c r="AU15" i="1" s="1"/>
  <c r="AV15" i="1" s="1"/>
  <c r="AW15" i="1" s="1"/>
  <c r="AX15" i="1" s="1"/>
  <c r="AY15" i="1" s="1"/>
  <c r="AG15" i="1"/>
  <c r="AH15" i="1" s="1"/>
  <c r="AI15" i="1" s="1"/>
  <c r="AJ15" i="1" s="1"/>
  <c r="AK15" i="1" s="1"/>
  <c r="AL15" i="1" s="1"/>
  <c r="AM15" i="1" s="1"/>
  <c r="AN15" i="1" s="1"/>
  <c r="AO15" i="1" s="1"/>
  <c r="C15" i="1"/>
  <c r="D15" i="1" s="1"/>
  <c r="E15" i="1" s="1"/>
  <c r="F15" i="1" s="1"/>
  <c r="G15" i="1" s="1"/>
  <c r="H15" i="1" s="1"/>
  <c r="I15" i="1" s="1"/>
  <c r="J15" i="1" s="1"/>
  <c r="K15" i="1" s="1"/>
  <c r="CE14" i="1"/>
  <c r="CF14" i="1" s="1"/>
  <c r="CG14" i="1" s="1"/>
  <c r="CH14" i="1" s="1"/>
  <c r="CI14" i="1" s="1"/>
  <c r="CJ14" i="1" s="1"/>
  <c r="CK14" i="1" s="1"/>
  <c r="CL14" i="1" s="1"/>
  <c r="CM14" i="1" s="1"/>
  <c r="BU14" i="1"/>
  <c r="BV14" i="1" s="1"/>
  <c r="BW14" i="1" s="1"/>
  <c r="BX14" i="1" s="1"/>
  <c r="BY14" i="1" s="1"/>
  <c r="BZ14" i="1" s="1"/>
  <c r="CA14" i="1" s="1"/>
  <c r="CB14" i="1" s="1"/>
  <c r="CC14" i="1" s="1"/>
  <c r="BK14" i="1"/>
  <c r="BL14" i="1" s="1"/>
  <c r="BM14" i="1" s="1"/>
  <c r="BN14" i="1" s="1"/>
  <c r="BO14" i="1" s="1"/>
  <c r="BP14" i="1" s="1"/>
  <c r="BQ14" i="1" s="1"/>
  <c r="BR14" i="1" s="1"/>
  <c r="BS14" i="1" s="1"/>
  <c r="BA14" i="1"/>
  <c r="BB14" i="1" s="1"/>
  <c r="BC14" i="1" s="1"/>
  <c r="BD14" i="1" s="1"/>
  <c r="BE14" i="1" s="1"/>
  <c r="BF14" i="1" s="1"/>
  <c r="BG14" i="1" s="1"/>
  <c r="BH14" i="1" s="1"/>
  <c r="BI14" i="1" s="1"/>
  <c r="AQ14" i="1"/>
  <c r="AR14" i="1" s="1"/>
  <c r="AS14" i="1" s="1"/>
  <c r="AT14" i="1" s="1"/>
  <c r="AU14" i="1" s="1"/>
  <c r="AV14" i="1" s="1"/>
  <c r="AW14" i="1" s="1"/>
  <c r="AX14" i="1" s="1"/>
  <c r="AY14" i="1" s="1"/>
  <c r="AG14" i="1"/>
  <c r="AH14" i="1" s="1"/>
  <c r="AI14" i="1" s="1"/>
  <c r="AJ14" i="1" s="1"/>
  <c r="AK14" i="1" s="1"/>
  <c r="AL14" i="1" s="1"/>
  <c r="AM14" i="1" s="1"/>
  <c r="AN14" i="1" s="1"/>
  <c r="AO14" i="1" s="1"/>
  <c r="W14" i="1"/>
  <c r="X14" i="1" s="1"/>
  <c r="Y14" i="1" s="1"/>
  <c r="Z14" i="1" s="1"/>
  <c r="AA14" i="1" s="1"/>
  <c r="AB14" i="1" s="1"/>
  <c r="AC14" i="1" s="1"/>
  <c r="AD14" i="1" s="1"/>
  <c r="AE14" i="1" s="1"/>
  <c r="M14" i="1"/>
  <c r="N14" i="1" s="1"/>
  <c r="O14" i="1" s="1"/>
  <c r="P14" i="1" s="1"/>
  <c r="Q14" i="1" s="1"/>
  <c r="R14" i="1" s="1"/>
  <c r="S14" i="1" s="1"/>
  <c r="T14" i="1" s="1"/>
  <c r="U14" i="1" s="1"/>
  <c r="C14" i="1"/>
  <c r="D14" i="1" s="1"/>
  <c r="E14" i="1" s="1"/>
  <c r="F14" i="1" s="1"/>
  <c r="G14" i="1" s="1"/>
  <c r="H14" i="1" s="1"/>
  <c r="I14" i="1" s="1"/>
  <c r="J14" i="1" s="1"/>
  <c r="K14" i="1" s="1"/>
  <c r="CO13" i="1"/>
  <c r="CP13" i="1" s="1"/>
  <c r="CQ13" i="1" s="1"/>
  <c r="CR13" i="1" s="1"/>
  <c r="CS13" i="1" s="1"/>
  <c r="CT13" i="1" s="1"/>
  <c r="CU13" i="1" s="1"/>
  <c r="CV13" i="1" s="1"/>
  <c r="CW13" i="1" s="1"/>
  <c r="CE13" i="1"/>
  <c r="CF13" i="1" s="1"/>
  <c r="CG13" i="1" s="1"/>
  <c r="CH13" i="1" s="1"/>
  <c r="CI13" i="1" s="1"/>
  <c r="CJ13" i="1" s="1"/>
  <c r="CK13" i="1" s="1"/>
  <c r="CL13" i="1" s="1"/>
  <c r="CM13" i="1" s="1"/>
  <c r="BU13" i="1"/>
  <c r="BV13" i="1" s="1"/>
  <c r="BW13" i="1" s="1"/>
  <c r="BX13" i="1" s="1"/>
  <c r="BY13" i="1" s="1"/>
  <c r="BZ13" i="1" s="1"/>
  <c r="CA13" i="1" s="1"/>
  <c r="CB13" i="1" s="1"/>
  <c r="CC13" i="1" s="1"/>
  <c r="BK13" i="1"/>
  <c r="BL13" i="1" s="1"/>
  <c r="BM13" i="1" s="1"/>
  <c r="BN13" i="1" s="1"/>
  <c r="BO13" i="1" s="1"/>
  <c r="BP13" i="1" s="1"/>
  <c r="BQ13" i="1" s="1"/>
  <c r="BR13" i="1" s="1"/>
  <c r="BS13" i="1" s="1"/>
  <c r="BA13" i="1"/>
  <c r="BB13" i="1" s="1"/>
  <c r="BC13" i="1" s="1"/>
  <c r="BD13" i="1" s="1"/>
  <c r="BE13" i="1" s="1"/>
  <c r="BF13" i="1" s="1"/>
  <c r="BG13" i="1" s="1"/>
  <c r="BH13" i="1" s="1"/>
  <c r="BI13" i="1" s="1"/>
  <c r="AQ13" i="1"/>
  <c r="AR13" i="1" s="1"/>
  <c r="AS13" i="1" s="1"/>
  <c r="AT13" i="1" s="1"/>
  <c r="AU13" i="1" s="1"/>
  <c r="AV13" i="1" s="1"/>
  <c r="AW13" i="1" s="1"/>
  <c r="AX13" i="1" s="1"/>
  <c r="AY13" i="1" s="1"/>
  <c r="AG13" i="1"/>
  <c r="AH13" i="1" s="1"/>
  <c r="AI13" i="1" s="1"/>
  <c r="AJ13" i="1" s="1"/>
  <c r="AK13" i="1" s="1"/>
  <c r="AL13" i="1" s="1"/>
  <c r="AM13" i="1" s="1"/>
  <c r="AN13" i="1" s="1"/>
  <c r="AO13" i="1" s="1"/>
  <c r="X13" i="1"/>
  <c r="Y13" i="1" s="1"/>
  <c r="Z13" i="1" s="1"/>
  <c r="AA13" i="1" s="1"/>
  <c r="AB13" i="1" s="1"/>
  <c r="AC13" i="1" s="1"/>
  <c r="AD13" i="1" s="1"/>
  <c r="AE13" i="1" s="1"/>
  <c r="W13" i="1"/>
  <c r="M13" i="1"/>
  <c r="N13" i="1" s="1"/>
  <c r="O13" i="1" s="1"/>
  <c r="P13" i="1" s="1"/>
  <c r="Q13" i="1" s="1"/>
  <c r="R13" i="1" s="1"/>
  <c r="S13" i="1" s="1"/>
  <c r="T13" i="1" s="1"/>
  <c r="U13" i="1" s="1"/>
  <c r="C13" i="1"/>
  <c r="D13" i="1" s="1"/>
  <c r="E13" i="1" s="1"/>
  <c r="F13" i="1" s="1"/>
  <c r="G13" i="1" s="1"/>
  <c r="H13" i="1" s="1"/>
  <c r="I13" i="1" s="1"/>
  <c r="J13" i="1" s="1"/>
  <c r="K13" i="1" s="1"/>
  <c r="CO12" i="1"/>
  <c r="CP12" i="1" s="1"/>
  <c r="CQ12" i="1" s="1"/>
  <c r="CR12" i="1" s="1"/>
  <c r="CS12" i="1" s="1"/>
  <c r="CT12" i="1" s="1"/>
  <c r="CU12" i="1" s="1"/>
  <c r="CV12" i="1" s="1"/>
  <c r="CW12" i="1" s="1"/>
  <c r="CE12" i="1"/>
  <c r="CF12" i="1" s="1"/>
  <c r="CG12" i="1" s="1"/>
  <c r="CH12" i="1" s="1"/>
  <c r="CI12" i="1" s="1"/>
  <c r="CJ12" i="1" s="1"/>
  <c r="CK12" i="1" s="1"/>
  <c r="CL12" i="1" s="1"/>
  <c r="CM12" i="1" s="1"/>
  <c r="BU12" i="1"/>
  <c r="BV12" i="1" s="1"/>
  <c r="BW12" i="1" s="1"/>
  <c r="BX12" i="1" s="1"/>
  <c r="BY12" i="1" s="1"/>
  <c r="BZ12" i="1" s="1"/>
  <c r="CA12" i="1" s="1"/>
  <c r="CB12" i="1" s="1"/>
  <c r="CC12" i="1" s="1"/>
  <c r="BK12" i="1"/>
  <c r="BL12" i="1" s="1"/>
  <c r="BM12" i="1" s="1"/>
  <c r="BN12" i="1" s="1"/>
  <c r="BO12" i="1" s="1"/>
  <c r="BP12" i="1" s="1"/>
  <c r="BQ12" i="1" s="1"/>
  <c r="BR12" i="1" s="1"/>
  <c r="BS12" i="1" s="1"/>
  <c r="BA12" i="1"/>
  <c r="BB12" i="1" s="1"/>
  <c r="BC12" i="1" s="1"/>
  <c r="BD12" i="1" s="1"/>
  <c r="BE12" i="1" s="1"/>
  <c r="BF12" i="1" s="1"/>
  <c r="BG12" i="1" s="1"/>
  <c r="BH12" i="1" s="1"/>
  <c r="BI12" i="1" s="1"/>
  <c r="AQ12" i="1"/>
  <c r="AR12" i="1" s="1"/>
  <c r="AS12" i="1" s="1"/>
  <c r="AT12" i="1" s="1"/>
  <c r="AU12" i="1" s="1"/>
  <c r="AV12" i="1" s="1"/>
  <c r="AW12" i="1" s="1"/>
  <c r="AX12" i="1" s="1"/>
  <c r="AY12" i="1" s="1"/>
  <c r="AG12" i="1"/>
  <c r="AH12" i="1" s="1"/>
  <c r="AI12" i="1" s="1"/>
  <c r="AJ12" i="1" s="1"/>
  <c r="AK12" i="1" s="1"/>
  <c r="AL12" i="1" s="1"/>
  <c r="AM12" i="1" s="1"/>
  <c r="AN12" i="1" s="1"/>
  <c r="AO12" i="1" s="1"/>
  <c r="W12" i="1"/>
  <c r="X12" i="1" s="1"/>
  <c r="Y12" i="1" s="1"/>
  <c r="Z12" i="1" s="1"/>
  <c r="AA12" i="1" s="1"/>
  <c r="AB12" i="1" s="1"/>
  <c r="AC12" i="1" s="1"/>
  <c r="AD12" i="1" s="1"/>
  <c r="AE12" i="1" s="1"/>
  <c r="M12" i="1"/>
  <c r="N12" i="1" s="1"/>
  <c r="O12" i="1" s="1"/>
  <c r="P12" i="1" s="1"/>
  <c r="Q12" i="1" s="1"/>
  <c r="R12" i="1" s="1"/>
  <c r="S12" i="1" s="1"/>
  <c r="T12" i="1" s="1"/>
  <c r="U12" i="1" s="1"/>
  <c r="C12" i="1"/>
  <c r="D12" i="1" s="1"/>
  <c r="E12" i="1" s="1"/>
  <c r="F12" i="1" s="1"/>
  <c r="G12" i="1" s="1"/>
  <c r="H12" i="1" s="1"/>
  <c r="I12" i="1" s="1"/>
  <c r="J12" i="1" s="1"/>
  <c r="K12" i="1" s="1"/>
  <c r="CO11" i="1"/>
  <c r="CP11" i="1" s="1"/>
  <c r="CQ11" i="1" s="1"/>
  <c r="CR11" i="1" s="1"/>
  <c r="CS11" i="1" s="1"/>
  <c r="CT11" i="1" s="1"/>
  <c r="CU11" i="1" s="1"/>
  <c r="CV11" i="1" s="1"/>
  <c r="CW11" i="1" s="1"/>
  <c r="CE11" i="1"/>
  <c r="CF11" i="1" s="1"/>
  <c r="CG11" i="1" s="1"/>
  <c r="CH11" i="1" s="1"/>
  <c r="CI11" i="1" s="1"/>
  <c r="CJ11" i="1" s="1"/>
  <c r="CK11" i="1" s="1"/>
  <c r="CL11" i="1" s="1"/>
  <c r="CM11" i="1" s="1"/>
  <c r="BV11" i="1"/>
  <c r="BW11" i="1" s="1"/>
  <c r="BX11" i="1" s="1"/>
  <c r="BY11" i="1" s="1"/>
  <c r="BZ11" i="1" s="1"/>
  <c r="CA11" i="1" s="1"/>
  <c r="CB11" i="1" s="1"/>
  <c r="CC11" i="1" s="1"/>
  <c r="BU11" i="1"/>
  <c r="BK11" i="1"/>
  <c r="BL11" i="1" s="1"/>
  <c r="BM11" i="1" s="1"/>
  <c r="BN11" i="1" s="1"/>
  <c r="BO11" i="1" s="1"/>
  <c r="BP11" i="1" s="1"/>
  <c r="BQ11" i="1" s="1"/>
  <c r="BR11" i="1" s="1"/>
  <c r="BS11" i="1" s="1"/>
  <c r="BA11" i="1"/>
  <c r="BB11" i="1" s="1"/>
  <c r="BC11" i="1" s="1"/>
  <c r="BD11" i="1" s="1"/>
  <c r="BE11" i="1" s="1"/>
  <c r="BF11" i="1" s="1"/>
  <c r="BG11" i="1" s="1"/>
  <c r="BH11" i="1" s="1"/>
  <c r="BI11" i="1" s="1"/>
  <c r="AQ11" i="1"/>
  <c r="AR11" i="1" s="1"/>
  <c r="AS11" i="1" s="1"/>
  <c r="AT11" i="1" s="1"/>
  <c r="AU11" i="1" s="1"/>
  <c r="AV11" i="1" s="1"/>
  <c r="AW11" i="1" s="1"/>
  <c r="AX11" i="1" s="1"/>
  <c r="AY11" i="1" s="1"/>
  <c r="AG11" i="1"/>
  <c r="AH11" i="1" s="1"/>
  <c r="AI11" i="1" s="1"/>
  <c r="AJ11" i="1" s="1"/>
  <c r="AK11" i="1" s="1"/>
  <c r="AL11" i="1" s="1"/>
  <c r="AM11" i="1" s="1"/>
  <c r="AN11" i="1" s="1"/>
  <c r="AO11" i="1" s="1"/>
  <c r="W11" i="1"/>
  <c r="X11" i="1" s="1"/>
  <c r="Y11" i="1" s="1"/>
  <c r="Z11" i="1" s="1"/>
  <c r="AA11" i="1" s="1"/>
  <c r="AB11" i="1" s="1"/>
  <c r="AC11" i="1" s="1"/>
  <c r="AD11" i="1" s="1"/>
  <c r="AE11" i="1" s="1"/>
  <c r="M11" i="1"/>
  <c r="N11" i="1" s="1"/>
  <c r="O11" i="1" s="1"/>
  <c r="P11" i="1" s="1"/>
  <c r="Q11" i="1" s="1"/>
  <c r="R11" i="1" s="1"/>
  <c r="S11" i="1" s="1"/>
  <c r="T11" i="1" s="1"/>
  <c r="U11" i="1" s="1"/>
  <c r="C11" i="1"/>
  <c r="D11" i="1" s="1"/>
  <c r="E11" i="1" s="1"/>
  <c r="F11" i="1" s="1"/>
  <c r="G11" i="1" s="1"/>
  <c r="H11" i="1" s="1"/>
  <c r="I11" i="1" s="1"/>
  <c r="J11" i="1" s="1"/>
  <c r="K11" i="1" s="1"/>
  <c r="CO10" i="1"/>
  <c r="CP10" i="1" s="1"/>
  <c r="CQ10" i="1" s="1"/>
  <c r="CR10" i="1" s="1"/>
  <c r="CS10" i="1" s="1"/>
  <c r="CT10" i="1" s="1"/>
  <c r="CU10" i="1" s="1"/>
  <c r="CV10" i="1" s="1"/>
  <c r="CW10" i="1" s="1"/>
  <c r="CE10" i="1"/>
  <c r="CF10" i="1" s="1"/>
  <c r="CG10" i="1" s="1"/>
  <c r="CH10" i="1" s="1"/>
  <c r="CI10" i="1" s="1"/>
  <c r="CJ10" i="1" s="1"/>
  <c r="CK10" i="1" s="1"/>
  <c r="CL10" i="1" s="1"/>
  <c r="CM10" i="1" s="1"/>
  <c r="BU10" i="1"/>
  <c r="BV10" i="1" s="1"/>
  <c r="BW10" i="1" s="1"/>
  <c r="BX10" i="1" s="1"/>
  <c r="BY10" i="1" s="1"/>
  <c r="BZ10" i="1" s="1"/>
  <c r="CA10" i="1" s="1"/>
  <c r="CB10" i="1" s="1"/>
  <c r="CC10" i="1" s="1"/>
  <c r="BK10" i="1"/>
  <c r="BL10" i="1" s="1"/>
  <c r="BM10" i="1" s="1"/>
  <c r="BN10" i="1" s="1"/>
  <c r="BO10" i="1" s="1"/>
  <c r="BP10" i="1" s="1"/>
  <c r="BQ10" i="1" s="1"/>
  <c r="BR10" i="1" s="1"/>
  <c r="BS10" i="1" s="1"/>
  <c r="BA10" i="1"/>
  <c r="BB10" i="1" s="1"/>
  <c r="BC10" i="1" s="1"/>
  <c r="BD10" i="1" s="1"/>
  <c r="BE10" i="1" s="1"/>
  <c r="BF10" i="1" s="1"/>
  <c r="BG10" i="1" s="1"/>
  <c r="BH10" i="1" s="1"/>
  <c r="BI10" i="1" s="1"/>
  <c r="AQ10" i="1"/>
  <c r="AR10" i="1" s="1"/>
  <c r="AS10" i="1" s="1"/>
  <c r="AT10" i="1" s="1"/>
  <c r="AU10" i="1" s="1"/>
  <c r="AV10" i="1" s="1"/>
  <c r="AW10" i="1" s="1"/>
  <c r="AX10" i="1" s="1"/>
  <c r="AY10" i="1" s="1"/>
  <c r="AG10" i="1"/>
  <c r="AH10" i="1" s="1"/>
  <c r="AI10" i="1" s="1"/>
  <c r="AJ10" i="1" s="1"/>
  <c r="AK10" i="1" s="1"/>
  <c r="AL10" i="1" s="1"/>
  <c r="AM10" i="1" s="1"/>
  <c r="AN10" i="1" s="1"/>
  <c r="AO10" i="1" s="1"/>
  <c r="X10" i="1"/>
  <c r="Y10" i="1" s="1"/>
  <c r="Z10" i="1" s="1"/>
  <c r="AA10" i="1" s="1"/>
  <c r="AB10" i="1" s="1"/>
  <c r="AC10" i="1" s="1"/>
  <c r="AD10" i="1" s="1"/>
  <c r="AE10" i="1" s="1"/>
  <c r="W10" i="1"/>
  <c r="M10" i="1"/>
  <c r="N10" i="1" s="1"/>
  <c r="O10" i="1" s="1"/>
  <c r="P10" i="1" s="1"/>
  <c r="Q10" i="1" s="1"/>
  <c r="R10" i="1" s="1"/>
  <c r="S10" i="1" s="1"/>
  <c r="T10" i="1" s="1"/>
  <c r="U10" i="1" s="1"/>
  <c r="C10" i="1"/>
  <c r="D10" i="1" s="1"/>
  <c r="E10" i="1" s="1"/>
  <c r="F10" i="1" s="1"/>
  <c r="G10" i="1" s="1"/>
  <c r="H10" i="1" s="1"/>
  <c r="I10" i="1" s="1"/>
  <c r="J10" i="1" s="1"/>
  <c r="K10" i="1" s="1"/>
  <c r="CO9" i="1"/>
  <c r="CP9" i="1" s="1"/>
  <c r="CQ9" i="1" s="1"/>
  <c r="CR9" i="1" s="1"/>
  <c r="CS9" i="1" s="1"/>
  <c r="CT9" i="1" s="1"/>
  <c r="CU9" i="1" s="1"/>
  <c r="CV9" i="1" s="1"/>
  <c r="CW9" i="1" s="1"/>
  <c r="CE9" i="1"/>
  <c r="CF9" i="1" s="1"/>
  <c r="CG9" i="1" s="1"/>
  <c r="CH9" i="1" s="1"/>
  <c r="CI9" i="1" s="1"/>
  <c r="CJ9" i="1" s="1"/>
  <c r="CK9" i="1" s="1"/>
  <c r="CL9" i="1" s="1"/>
  <c r="CM9" i="1" s="1"/>
  <c r="BU9" i="1"/>
  <c r="BV9" i="1" s="1"/>
  <c r="BW9" i="1" s="1"/>
  <c r="BX9" i="1" s="1"/>
  <c r="BY9" i="1" s="1"/>
  <c r="BZ9" i="1" s="1"/>
  <c r="CA9" i="1" s="1"/>
  <c r="CB9" i="1" s="1"/>
  <c r="CC9" i="1" s="1"/>
  <c r="BK9" i="1"/>
  <c r="BL9" i="1" s="1"/>
  <c r="BM9" i="1" s="1"/>
  <c r="BN9" i="1" s="1"/>
  <c r="BO9" i="1" s="1"/>
  <c r="BP9" i="1" s="1"/>
  <c r="BQ9" i="1" s="1"/>
  <c r="BR9" i="1" s="1"/>
  <c r="BS9" i="1" s="1"/>
  <c r="BA9" i="1"/>
  <c r="BB9" i="1" s="1"/>
  <c r="BC9" i="1" s="1"/>
  <c r="BD9" i="1" s="1"/>
  <c r="BE9" i="1" s="1"/>
  <c r="BF9" i="1" s="1"/>
  <c r="BG9" i="1" s="1"/>
  <c r="BH9" i="1" s="1"/>
  <c r="BI9" i="1" s="1"/>
  <c r="AQ9" i="1"/>
  <c r="AR9" i="1" s="1"/>
  <c r="AS9" i="1" s="1"/>
  <c r="AT9" i="1" s="1"/>
  <c r="AU9" i="1" s="1"/>
  <c r="AV9" i="1" s="1"/>
  <c r="AW9" i="1" s="1"/>
  <c r="AX9" i="1" s="1"/>
  <c r="AY9" i="1" s="1"/>
  <c r="AG9" i="1"/>
  <c r="AH9" i="1" s="1"/>
  <c r="AI9" i="1" s="1"/>
  <c r="AJ9" i="1" s="1"/>
  <c r="AK9" i="1" s="1"/>
  <c r="AL9" i="1" s="1"/>
  <c r="AM9" i="1" s="1"/>
  <c r="AN9" i="1" s="1"/>
  <c r="AO9" i="1" s="1"/>
  <c r="W9" i="1"/>
  <c r="X9" i="1" s="1"/>
  <c r="Y9" i="1" s="1"/>
  <c r="Z9" i="1" s="1"/>
  <c r="AA9" i="1" s="1"/>
  <c r="AB9" i="1" s="1"/>
  <c r="AC9" i="1" s="1"/>
  <c r="AD9" i="1" s="1"/>
  <c r="AE9" i="1" s="1"/>
  <c r="M9" i="1"/>
  <c r="N9" i="1" s="1"/>
  <c r="O9" i="1" s="1"/>
  <c r="P9" i="1" s="1"/>
  <c r="Q9" i="1" s="1"/>
  <c r="R9" i="1" s="1"/>
  <c r="S9" i="1" s="1"/>
  <c r="T9" i="1" s="1"/>
  <c r="U9" i="1" s="1"/>
  <c r="C9" i="1"/>
  <c r="D9" i="1" s="1"/>
  <c r="E9" i="1" s="1"/>
  <c r="F9" i="1" s="1"/>
  <c r="G9" i="1" s="1"/>
  <c r="H9" i="1" s="1"/>
  <c r="I9" i="1" s="1"/>
  <c r="J9" i="1" s="1"/>
  <c r="K9" i="1" s="1"/>
  <c r="CO8" i="1"/>
  <c r="CP8" i="1" s="1"/>
  <c r="CQ8" i="1" s="1"/>
  <c r="CR8" i="1" s="1"/>
  <c r="CS8" i="1" s="1"/>
  <c r="CT8" i="1" s="1"/>
  <c r="CU8" i="1" s="1"/>
  <c r="CV8" i="1" s="1"/>
  <c r="CW8" i="1" s="1"/>
  <c r="CE8" i="1"/>
  <c r="CF8" i="1" s="1"/>
  <c r="CG8" i="1" s="1"/>
  <c r="CH8" i="1" s="1"/>
  <c r="CI8" i="1" s="1"/>
  <c r="CJ8" i="1" s="1"/>
  <c r="CK8" i="1" s="1"/>
  <c r="CL8" i="1" s="1"/>
  <c r="CM8" i="1" s="1"/>
  <c r="BU8" i="1"/>
  <c r="BV8" i="1" s="1"/>
  <c r="BW8" i="1" s="1"/>
  <c r="BX8" i="1" s="1"/>
  <c r="BY8" i="1" s="1"/>
  <c r="BZ8" i="1" s="1"/>
  <c r="CA8" i="1" s="1"/>
  <c r="CB8" i="1" s="1"/>
  <c r="CC8" i="1" s="1"/>
  <c r="BK8" i="1"/>
  <c r="BL8" i="1" s="1"/>
  <c r="BM8" i="1" s="1"/>
  <c r="BN8" i="1" s="1"/>
  <c r="BO8" i="1" s="1"/>
  <c r="BP8" i="1" s="1"/>
  <c r="BQ8" i="1" s="1"/>
  <c r="BR8" i="1" s="1"/>
  <c r="BS8" i="1" s="1"/>
  <c r="BA8" i="1"/>
  <c r="BB8" i="1" s="1"/>
  <c r="BC8" i="1" s="1"/>
  <c r="BD8" i="1" s="1"/>
  <c r="BE8" i="1" s="1"/>
  <c r="BF8" i="1" s="1"/>
  <c r="BG8" i="1" s="1"/>
  <c r="BH8" i="1" s="1"/>
  <c r="BI8" i="1" s="1"/>
  <c r="AQ8" i="1"/>
  <c r="AR8" i="1" s="1"/>
  <c r="AS8" i="1" s="1"/>
  <c r="AT8" i="1" s="1"/>
  <c r="AU8" i="1" s="1"/>
  <c r="AV8" i="1" s="1"/>
  <c r="AW8" i="1" s="1"/>
  <c r="AX8" i="1" s="1"/>
  <c r="AY8" i="1" s="1"/>
  <c r="AG8" i="1"/>
  <c r="AH8" i="1" s="1"/>
  <c r="AI8" i="1" s="1"/>
  <c r="AJ8" i="1" s="1"/>
  <c r="AK8" i="1" s="1"/>
  <c r="AL8" i="1" s="1"/>
  <c r="AM8" i="1" s="1"/>
  <c r="AN8" i="1" s="1"/>
  <c r="AO8" i="1" s="1"/>
  <c r="W8" i="1"/>
  <c r="X8" i="1" s="1"/>
  <c r="Y8" i="1" s="1"/>
  <c r="Z8" i="1" s="1"/>
  <c r="AA8" i="1" s="1"/>
  <c r="AB8" i="1" s="1"/>
  <c r="AC8" i="1" s="1"/>
  <c r="AD8" i="1" s="1"/>
  <c r="AE8" i="1" s="1"/>
  <c r="M8" i="1"/>
  <c r="N8" i="1" s="1"/>
  <c r="O8" i="1" s="1"/>
  <c r="P8" i="1" s="1"/>
  <c r="Q8" i="1" s="1"/>
  <c r="R8" i="1" s="1"/>
  <c r="S8" i="1" s="1"/>
  <c r="T8" i="1" s="1"/>
  <c r="U8" i="1" s="1"/>
  <c r="C8" i="1"/>
  <c r="D8" i="1" s="1"/>
  <c r="E8" i="1" s="1"/>
  <c r="F8" i="1" s="1"/>
  <c r="G8" i="1" s="1"/>
  <c r="H8" i="1" s="1"/>
  <c r="I8" i="1" s="1"/>
  <c r="J8" i="1" s="1"/>
  <c r="K8" i="1" s="1"/>
  <c r="CO7" i="1"/>
  <c r="CP7" i="1" s="1"/>
  <c r="CQ7" i="1" s="1"/>
  <c r="CR7" i="1" s="1"/>
  <c r="CS7" i="1" s="1"/>
  <c r="CT7" i="1" s="1"/>
  <c r="CU7" i="1" s="1"/>
  <c r="CV7" i="1" s="1"/>
  <c r="CW7" i="1" s="1"/>
  <c r="CE7" i="1"/>
  <c r="CF7" i="1" s="1"/>
  <c r="CG7" i="1" s="1"/>
  <c r="CH7" i="1" s="1"/>
  <c r="CI7" i="1" s="1"/>
  <c r="CJ7" i="1" s="1"/>
  <c r="CK7" i="1" s="1"/>
  <c r="CL7" i="1" s="1"/>
  <c r="CM7" i="1" s="1"/>
  <c r="BU7" i="1"/>
  <c r="BV7" i="1" s="1"/>
  <c r="BW7" i="1" s="1"/>
  <c r="BX7" i="1" s="1"/>
  <c r="BY7" i="1" s="1"/>
  <c r="BZ7" i="1" s="1"/>
  <c r="CA7" i="1" s="1"/>
  <c r="CB7" i="1" s="1"/>
  <c r="CC7" i="1" s="1"/>
  <c r="BK7" i="1"/>
  <c r="BL7" i="1" s="1"/>
  <c r="BM7" i="1" s="1"/>
  <c r="BN7" i="1" s="1"/>
  <c r="BO7" i="1" s="1"/>
  <c r="BP7" i="1" s="1"/>
  <c r="BQ7" i="1" s="1"/>
  <c r="BR7" i="1" s="1"/>
  <c r="BS7" i="1" s="1"/>
  <c r="BA7" i="1"/>
  <c r="BB7" i="1" s="1"/>
  <c r="BC7" i="1" s="1"/>
  <c r="BD7" i="1" s="1"/>
  <c r="BE7" i="1" s="1"/>
  <c r="BF7" i="1" s="1"/>
  <c r="BG7" i="1" s="1"/>
  <c r="BH7" i="1" s="1"/>
  <c r="BI7" i="1" s="1"/>
  <c r="AQ7" i="1"/>
  <c r="AR7" i="1" s="1"/>
  <c r="AS7" i="1" s="1"/>
  <c r="AT7" i="1" s="1"/>
  <c r="AU7" i="1" s="1"/>
  <c r="AV7" i="1" s="1"/>
  <c r="AW7" i="1" s="1"/>
  <c r="AX7" i="1" s="1"/>
  <c r="AY7" i="1" s="1"/>
  <c r="AG7" i="1"/>
  <c r="AH7" i="1" s="1"/>
  <c r="AI7" i="1" s="1"/>
  <c r="AJ7" i="1" s="1"/>
  <c r="AK7" i="1" s="1"/>
  <c r="AL7" i="1" s="1"/>
  <c r="AM7" i="1" s="1"/>
  <c r="AN7" i="1" s="1"/>
  <c r="AO7" i="1" s="1"/>
  <c r="W7" i="1"/>
  <c r="X7" i="1" s="1"/>
  <c r="Y7" i="1" s="1"/>
  <c r="Z7" i="1" s="1"/>
  <c r="AA7" i="1" s="1"/>
  <c r="AB7" i="1" s="1"/>
  <c r="AC7" i="1" s="1"/>
  <c r="AD7" i="1" s="1"/>
  <c r="AE7" i="1" s="1"/>
  <c r="N7" i="1"/>
  <c r="O7" i="1" s="1"/>
  <c r="P7" i="1" s="1"/>
  <c r="Q7" i="1" s="1"/>
  <c r="R7" i="1" s="1"/>
  <c r="S7" i="1" s="1"/>
  <c r="T7" i="1" s="1"/>
  <c r="U7" i="1" s="1"/>
  <c r="C7" i="1"/>
  <c r="D7" i="1" s="1"/>
  <c r="E7" i="1" s="1"/>
  <c r="F7" i="1" s="1"/>
  <c r="G7" i="1" s="1"/>
  <c r="H7" i="1" s="1"/>
  <c r="I7" i="1" s="1"/>
  <c r="J7" i="1" s="1"/>
  <c r="K7" i="1" s="1"/>
  <c r="CO6" i="1"/>
  <c r="CP6" i="1" s="1"/>
  <c r="CQ6" i="1" s="1"/>
  <c r="CR6" i="1" s="1"/>
  <c r="CS6" i="1" s="1"/>
  <c r="CT6" i="1" s="1"/>
  <c r="CU6" i="1" s="1"/>
  <c r="CV6" i="1" s="1"/>
  <c r="CW6" i="1" s="1"/>
  <c r="CE6" i="1"/>
  <c r="CF6" i="1" s="1"/>
  <c r="CG6" i="1" s="1"/>
  <c r="CH6" i="1" s="1"/>
  <c r="CI6" i="1" s="1"/>
  <c r="CJ6" i="1" s="1"/>
  <c r="CK6" i="1" s="1"/>
  <c r="CL6" i="1" s="1"/>
  <c r="CM6" i="1" s="1"/>
  <c r="BU6" i="1"/>
  <c r="BV6" i="1" s="1"/>
  <c r="BW6" i="1" s="1"/>
  <c r="BX6" i="1" s="1"/>
  <c r="BY6" i="1" s="1"/>
  <c r="BZ6" i="1" s="1"/>
  <c r="CA6" i="1" s="1"/>
  <c r="CB6" i="1" s="1"/>
  <c r="CC6" i="1" s="1"/>
  <c r="BK6" i="1"/>
  <c r="BL6" i="1" s="1"/>
  <c r="BM6" i="1" s="1"/>
  <c r="BN6" i="1" s="1"/>
  <c r="BO6" i="1" s="1"/>
  <c r="BP6" i="1" s="1"/>
  <c r="BQ6" i="1" s="1"/>
  <c r="BR6" i="1" s="1"/>
  <c r="BS6" i="1" s="1"/>
  <c r="BA6" i="1"/>
  <c r="BB6" i="1" s="1"/>
  <c r="BC6" i="1" s="1"/>
  <c r="BD6" i="1" s="1"/>
  <c r="BE6" i="1" s="1"/>
  <c r="BF6" i="1" s="1"/>
  <c r="BG6" i="1" s="1"/>
  <c r="BH6" i="1" s="1"/>
  <c r="BI6" i="1" s="1"/>
  <c r="AQ6" i="1"/>
  <c r="AR6" i="1" s="1"/>
  <c r="AS6" i="1" s="1"/>
  <c r="AT6" i="1" s="1"/>
  <c r="AU6" i="1" s="1"/>
  <c r="AV6" i="1" s="1"/>
  <c r="AW6" i="1" s="1"/>
  <c r="AX6" i="1" s="1"/>
  <c r="AY6" i="1" s="1"/>
  <c r="AG6" i="1"/>
  <c r="AH6" i="1" s="1"/>
  <c r="AI6" i="1" s="1"/>
  <c r="AJ6" i="1" s="1"/>
  <c r="AK6" i="1" s="1"/>
  <c r="AL6" i="1" s="1"/>
  <c r="AM6" i="1" s="1"/>
  <c r="AN6" i="1" s="1"/>
  <c r="AO6" i="1" s="1"/>
  <c r="W6" i="1"/>
  <c r="X6" i="1" s="1"/>
  <c r="Y6" i="1" s="1"/>
  <c r="Z6" i="1" s="1"/>
  <c r="AA6" i="1" s="1"/>
  <c r="AB6" i="1" s="1"/>
  <c r="AC6" i="1" s="1"/>
  <c r="AD6" i="1" s="1"/>
  <c r="AE6" i="1" s="1"/>
  <c r="M6" i="1"/>
  <c r="N6" i="1" s="1"/>
  <c r="O6" i="1" s="1"/>
  <c r="P6" i="1" s="1"/>
  <c r="Q6" i="1" s="1"/>
  <c r="R6" i="1" s="1"/>
  <c r="S6" i="1" s="1"/>
  <c r="T6" i="1" s="1"/>
  <c r="U6" i="1" s="1"/>
  <c r="C6" i="1"/>
  <c r="D6" i="1" s="1"/>
  <c r="E6" i="1" s="1"/>
  <c r="F6" i="1" s="1"/>
  <c r="G6" i="1" s="1"/>
  <c r="H6" i="1" s="1"/>
  <c r="I6" i="1" s="1"/>
  <c r="J6" i="1" s="1"/>
  <c r="K6" i="1" s="1"/>
  <c r="CO5" i="1"/>
  <c r="CP5" i="1" s="1"/>
  <c r="CQ5" i="1" s="1"/>
  <c r="CR5" i="1" s="1"/>
  <c r="CS5" i="1" s="1"/>
  <c r="CT5" i="1" s="1"/>
  <c r="CU5" i="1" s="1"/>
  <c r="CV5" i="1" s="1"/>
  <c r="CW5" i="1" s="1"/>
  <c r="CE5" i="1"/>
  <c r="CF5" i="1" s="1"/>
  <c r="CG5" i="1" s="1"/>
  <c r="CH5" i="1" s="1"/>
  <c r="CI5" i="1" s="1"/>
  <c r="CJ5" i="1" s="1"/>
  <c r="CK5" i="1" s="1"/>
  <c r="CL5" i="1" s="1"/>
  <c r="CM5" i="1" s="1"/>
  <c r="BU5" i="1"/>
  <c r="BV5" i="1" s="1"/>
  <c r="BW5" i="1" s="1"/>
  <c r="BX5" i="1" s="1"/>
  <c r="BY5" i="1" s="1"/>
  <c r="BZ5" i="1" s="1"/>
  <c r="CA5" i="1" s="1"/>
  <c r="CB5" i="1" s="1"/>
  <c r="CC5" i="1" s="1"/>
  <c r="BK5" i="1"/>
  <c r="BL5" i="1" s="1"/>
  <c r="BM5" i="1" s="1"/>
  <c r="BN5" i="1" s="1"/>
  <c r="BO5" i="1" s="1"/>
  <c r="BP5" i="1" s="1"/>
  <c r="BQ5" i="1" s="1"/>
  <c r="BR5" i="1" s="1"/>
  <c r="BS5" i="1" s="1"/>
  <c r="BA5" i="1"/>
  <c r="BB5" i="1" s="1"/>
  <c r="BC5" i="1" s="1"/>
  <c r="BD5" i="1" s="1"/>
  <c r="BE5" i="1" s="1"/>
  <c r="BF5" i="1" s="1"/>
  <c r="BG5" i="1" s="1"/>
  <c r="BH5" i="1" s="1"/>
  <c r="BI5" i="1" s="1"/>
  <c r="AQ5" i="1"/>
  <c r="AR5" i="1" s="1"/>
  <c r="AS5" i="1" s="1"/>
  <c r="AT5" i="1" s="1"/>
  <c r="AU5" i="1" s="1"/>
  <c r="AV5" i="1" s="1"/>
  <c r="AW5" i="1" s="1"/>
  <c r="AX5" i="1" s="1"/>
  <c r="AY5" i="1" s="1"/>
  <c r="AG5" i="1"/>
  <c r="AH5" i="1" s="1"/>
  <c r="AI5" i="1" s="1"/>
  <c r="AJ5" i="1" s="1"/>
  <c r="AK5" i="1" s="1"/>
  <c r="AL5" i="1" s="1"/>
  <c r="AM5" i="1" s="1"/>
  <c r="AN5" i="1" s="1"/>
  <c r="AO5" i="1" s="1"/>
  <c r="X5" i="1"/>
  <c r="Y5" i="1" s="1"/>
  <c r="Z5" i="1" s="1"/>
  <c r="AA5" i="1" s="1"/>
  <c r="AB5" i="1" s="1"/>
  <c r="AC5" i="1" s="1"/>
  <c r="AD5" i="1" s="1"/>
  <c r="AE5" i="1" s="1"/>
  <c r="W5" i="1"/>
  <c r="M5" i="1"/>
  <c r="N5" i="1" s="1"/>
  <c r="O5" i="1" s="1"/>
  <c r="P5" i="1" s="1"/>
  <c r="Q5" i="1" s="1"/>
  <c r="R5" i="1" s="1"/>
  <c r="S5" i="1" s="1"/>
  <c r="T5" i="1" s="1"/>
  <c r="U5" i="1" s="1"/>
</calcChain>
</file>

<file path=xl/sharedStrings.xml><?xml version="1.0" encoding="utf-8"?>
<sst xmlns="http://schemas.openxmlformats.org/spreadsheetml/2006/main" count="4" uniqueCount="3">
  <si>
    <t>BAÛNG TRA QUAN HEÄ W = F(Z) 
HOÀ DAÀU TIEÁNG</t>
  </si>
  <si>
    <t>Z</t>
  </si>
  <si>
    <t>BẢNG TRA MỰC NƯỚC HỒ DẦU TIẾNG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</si>
</sst>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8">
    <font>
      <sz val="11"/>
      <color theme="1"/>
      <name val="Calibri"/>
      <family val="2"/>
      <scheme val="minor"/>
    </font>
    <font>
      <b/>
      <sz val="18"/>
      <name val="VNI-Times"/>
    </font>
    <font>
      <b/>
      <sz val="16"/>
      <name val="VNI-Times"/>
    </font>
    <font>
      <b/>
      <sz val="8"/>
      <name val="VNI-Times"/>
    </font>
    <font>
      <sz val="16"/>
      <name val="VNI-Times"/>
    </font>
    <font>
      <b/>
      <sz val="14"/>
      <name val="VNI-Times"/>
    </font>
    <font>
      <sz val="11"/>
      <name val="Calibri"/>
      <family val="2"/>
      <scheme val="minor"/>
    </font>
    <font>
      <b/>
      <sz val="1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2" fontId="6" fillId="0" borderId="0" xfId="0" applyNumberFormat="1" applyFo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center"/>
    </xf>
    <xf numFmtId="2" fontId="3" fillId="2" borderId="6" xfId="0" applyNumberFormat="1" applyFont="1" applyFill="1" applyBorder="1" applyAlignment="1">
      <alignment horizontal="center" vertical="center"/>
    </xf>
    <xf numFmtId="2" fontId="3" fillId="2" borderId="9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BDD8-4138-4BF2-BCFA-2E376CAE6899}">
  <dimension ref="A1:CW289"/>
  <sheetViews>
    <sheetView tabSelected="1" zoomScaleNormal="100" workbookViewId="0">
      <selection activeCell="CQ3" sqref="CQ3"/>
    </sheetView>
  </sheetViews>
  <sheetFormatPr defaultRowHeight="20.25"/>
  <cols>
    <col min="1" max="1" width="4.5703125" style="10" customWidth="1"/>
    <col min="2" max="101" width="6.42578125" style="13" customWidth="1"/>
    <col min="102" max="256" width="9.140625" style="13"/>
    <col min="257" max="257" width="4.5703125" style="13" customWidth="1"/>
    <col min="258" max="357" width="6.42578125" style="13" customWidth="1"/>
    <col min="358" max="512" width="9.140625" style="13"/>
    <col min="513" max="513" width="4.5703125" style="13" customWidth="1"/>
    <col min="514" max="613" width="6.42578125" style="13" customWidth="1"/>
    <col min="614" max="768" width="9.140625" style="13"/>
    <col min="769" max="769" width="4.5703125" style="13" customWidth="1"/>
    <col min="770" max="869" width="6.42578125" style="13" customWidth="1"/>
    <col min="870" max="1024" width="9.140625" style="13"/>
    <col min="1025" max="1025" width="4.5703125" style="13" customWidth="1"/>
    <col min="1026" max="1125" width="6.42578125" style="13" customWidth="1"/>
    <col min="1126" max="1280" width="9.140625" style="13"/>
    <col min="1281" max="1281" width="4.5703125" style="13" customWidth="1"/>
    <col min="1282" max="1381" width="6.42578125" style="13" customWidth="1"/>
    <col min="1382" max="1536" width="9.140625" style="13"/>
    <col min="1537" max="1537" width="4.5703125" style="13" customWidth="1"/>
    <col min="1538" max="1637" width="6.42578125" style="13" customWidth="1"/>
    <col min="1638" max="1792" width="9.140625" style="13"/>
    <col min="1793" max="1793" width="4.5703125" style="13" customWidth="1"/>
    <col min="1794" max="1893" width="6.42578125" style="13" customWidth="1"/>
    <col min="1894" max="2048" width="9.140625" style="13"/>
    <col min="2049" max="2049" width="4.5703125" style="13" customWidth="1"/>
    <col min="2050" max="2149" width="6.42578125" style="13" customWidth="1"/>
    <col min="2150" max="2304" width="9.140625" style="13"/>
    <col min="2305" max="2305" width="4.5703125" style="13" customWidth="1"/>
    <col min="2306" max="2405" width="6.42578125" style="13" customWidth="1"/>
    <col min="2406" max="2560" width="9.140625" style="13"/>
    <col min="2561" max="2561" width="4.5703125" style="13" customWidth="1"/>
    <col min="2562" max="2661" width="6.42578125" style="13" customWidth="1"/>
    <col min="2662" max="2816" width="9.140625" style="13"/>
    <col min="2817" max="2817" width="4.5703125" style="13" customWidth="1"/>
    <col min="2818" max="2917" width="6.42578125" style="13" customWidth="1"/>
    <col min="2918" max="3072" width="9.140625" style="13"/>
    <col min="3073" max="3073" width="4.5703125" style="13" customWidth="1"/>
    <col min="3074" max="3173" width="6.42578125" style="13" customWidth="1"/>
    <col min="3174" max="3328" width="9.140625" style="13"/>
    <col min="3329" max="3329" width="4.5703125" style="13" customWidth="1"/>
    <col min="3330" max="3429" width="6.42578125" style="13" customWidth="1"/>
    <col min="3430" max="3584" width="9.140625" style="13"/>
    <col min="3585" max="3585" width="4.5703125" style="13" customWidth="1"/>
    <col min="3586" max="3685" width="6.42578125" style="13" customWidth="1"/>
    <col min="3686" max="3840" width="9.140625" style="13"/>
    <col min="3841" max="3841" width="4.5703125" style="13" customWidth="1"/>
    <col min="3842" max="3941" width="6.42578125" style="13" customWidth="1"/>
    <col min="3942" max="4096" width="9.140625" style="13"/>
    <col min="4097" max="4097" width="4.5703125" style="13" customWidth="1"/>
    <col min="4098" max="4197" width="6.42578125" style="13" customWidth="1"/>
    <col min="4198" max="4352" width="9.140625" style="13"/>
    <col min="4353" max="4353" width="4.5703125" style="13" customWidth="1"/>
    <col min="4354" max="4453" width="6.42578125" style="13" customWidth="1"/>
    <col min="4454" max="4608" width="9.140625" style="13"/>
    <col min="4609" max="4609" width="4.5703125" style="13" customWidth="1"/>
    <col min="4610" max="4709" width="6.42578125" style="13" customWidth="1"/>
    <col min="4710" max="4864" width="9.140625" style="13"/>
    <col min="4865" max="4865" width="4.5703125" style="13" customWidth="1"/>
    <col min="4866" max="4965" width="6.42578125" style="13" customWidth="1"/>
    <col min="4966" max="5120" width="9.140625" style="13"/>
    <col min="5121" max="5121" width="4.5703125" style="13" customWidth="1"/>
    <col min="5122" max="5221" width="6.42578125" style="13" customWidth="1"/>
    <col min="5222" max="5376" width="9.140625" style="13"/>
    <col min="5377" max="5377" width="4.5703125" style="13" customWidth="1"/>
    <col min="5378" max="5477" width="6.42578125" style="13" customWidth="1"/>
    <col min="5478" max="5632" width="9.140625" style="13"/>
    <col min="5633" max="5633" width="4.5703125" style="13" customWidth="1"/>
    <col min="5634" max="5733" width="6.42578125" style="13" customWidth="1"/>
    <col min="5734" max="5888" width="9.140625" style="13"/>
    <col min="5889" max="5889" width="4.5703125" style="13" customWidth="1"/>
    <col min="5890" max="5989" width="6.42578125" style="13" customWidth="1"/>
    <col min="5990" max="6144" width="9.140625" style="13"/>
    <col min="6145" max="6145" width="4.5703125" style="13" customWidth="1"/>
    <col min="6146" max="6245" width="6.42578125" style="13" customWidth="1"/>
    <col min="6246" max="6400" width="9.140625" style="13"/>
    <col min="6401" max="6401" width="4.5703125" style="13" customWidth="1"/>
    <col min="6402" max="6501" width="6.42578125" style="13" customWidth="1"/>
    <col min="6502" max="6656" width="9.140625" style="13"/>
    <col min="6657" max="6657" width="4.5703125" style="13" customWidth="1"/>
    <col min="6658" max="6757" width="6.42578125" style="13" customWidth="1"/>
    <col min="6758" max="6912" width="9.140625" style="13"/>
    <col min="6913" max="6913" width="4.5703125" style="13" customWidth="1"/>
    <col min="6914" max="7013" width="6.42578125" style="13" customWidth="1"/>
    <col min="7014" max="7168" width="9.140625" style="13"/>
    <col min="7169" max="7169" width="4.5703125" style="13" customWidth="1"/>
    <col min="7170" max="7269" width="6.42578125" style="13" customWidth="1"/>
    <col min="7270" max="7424" width="9.140625" style="13"/>
    <col min="7425" max="7425" width="4.5703125" style="13" customWidth="1"/>
    <col min="7426" max="7525" width="6.42578125" style="13" customWidth="1"/>
    <col min="7526" max="7680" width="9.140625" style="13"/>
    <col min="7681" max="7681" width="4.5703125" style="13" customWidth="1"/>
    <col min="7682" max="7781" width="6.42578125" style="13" customWidth="1"/>
    <col min="7782" max="7936" width="9.140625" style="13"/>
    <col min="7937" max="7937" width="4.5703125" style="13" customWidth="1"/>
    <col min="7938" max="8037" width="6.42578125" style="13" customWidth="1"/>
    <col min="8038" max="8192" width="9.140625" style="13"/>
    <col min="8193" max="8193" width="4.5703125" style="13" customWidth="1"/>
    <col min="8194" max="8293" width="6.42578125" style="13" customWidth="1"/>
    <col min="8294" max="8448" width="9.140625" style="13"/>
    <col min="8449" max="8449" width="4.5703125" style="13" customWidth="1"/>
    <col min="8450" max="8549" width="6.42578125" style="13" customWidth="1"/>
    <col min="8550" max="8704" width="9.140625" style="13"/>
    <col min="8705" max="8705" width="4.5703125" style="13" customWidth="1"/>
    <col min="8706" max="8805" width="6.42578125" style="13" customWidth="1"/>
    <col min="8806" max="8960" width="9.140625" style="13"/>
    <col min="8961" max="8961" width="4.5703125" style="13" customWidth="1"/>
    <col min="8962" max="9061" width="6.42578125" style="13" customWidth="1"/>
    <col min="9062" max="9216" width="9.140625" style="13"/>
    <col min="9217" max="9217" width="4.5703125" style="13" customWidth="1"/>
    <col min="9218" max="9317" width="6.42578125" style="13" customWidth="1"/>
    <col min="9318" max="9472" width="9.140625" style="13"/>
    <col min="9473" max="9473" width="4.5703125" style="13" customWidth="1"/>
    <col min="9474" max="9573" width="6.42578125" style="13" customWidth="1"/>
    <col min="9574" max="9728" width="9.140625" style="13"/>
    <col min="9729" max="9729" width="4.5703125" style="13" customWidth="1"/>
    <col min="9730" max="9829" width="6.42578125" style="13" customWidth="1"/>
    <col min="9830" max="9984" width="9.140625" style="13"/>
    <col min="9985" max="9985" width="4.5703125" style="13" customWidth="1"/>
    <col min="9986" max="10085" width="6.42578125" style="13" customWidth="1"/>
    <col min="10086" max="10240" width="9.140625" style="13"/>
    <col min="10241" max="10241" width="4.5703125" style="13" customWidth="1"/>
    <col min="10242" max="10341" width="6.42578125" style="13" customWidth="1"/>
    <col min="10342" max="10496" width="9.140625" style="13"/>
    <col min="10497" max="10497" width="4.5703125" style="13" customWidth="1"/>
    <col min="10498" max="10597" width="6.42578125" style="13" customWidth="1"/>
    <col min="10598" max="10752" width="9.140625" style="13"/>
    <col min="10753" max="10753" width="4.5703125" style="13" customWidth="1"/>
    <col min="10754" max="10853" width="6.42578125" style="13" customWidth="1"/>
    <col min="10854" max="11008" width="9.140625" style="13"/>
    <col min="11009" max="11009" width="4.5703125" style="13" customWidth="1"/>
    <col min="11010" max="11109" width="6.42578125" style="13" customWidth="1"/>
    <col min="11110" max="11264" width="9.140625" style="13"/>
    <col min="11265" max="11265" width="4.5703125" style="13" customWidth="1"/>
    <col min="11266" max="11365" width="6.42578125" style="13" customWidth="1"/>
    <col min="11366" max="11520" width="9.140625" style="13"/>
    <col min="11521" max="11521" width="4.5703125" style="13" customWidth="1"/>
    <col min="11522" max="11621" width="6.42578125" style="13" customWidth="1"/>
    <col min="11622" max="11776" width="9.140625" style="13"/>
    <col min="11777" max="11777" width="4.5703125" style="13" customWidth="1"/>
    <col min="11778" max="11877" width="6.42578125" style="13" customWidth="1"/>
    <col min="11878" max="12032" width="9.140625" style="13"/>
    <col min="12033" max="12033" width="4.5703125" style="13" customWidth="1"/>
    <col min="12034" max="12133" width="6.42578125" style="13" customWidth="1"/>
    <col min="12134" max="12288" width="9.140625" style="13"/>
    <col min="12289" max="12289" width="4.5703125" style="13" customWidth="1"/>
    <col min="12290" max="12389" width="6.42578125" style="13" customWidth="1"/>
    <col min="12390" max="12544" width="9.140625" style="13"/>
    <col min="12545" max="12545" width="4.5703125" style="13" customWidth="1"/>
    <col min="12546" max="12645" width="6.42578125" style="13" customWidth="1"/>
    <col min="12646" max="12800" width="9.140625" style="13"/>
    <col min="12801" max="12801" width="4.5703125" style="13" customWidth="1"/>
    <col min="12802" max="12901" width="6.42578125" style="13" customWidth="1"/>
    <col min="12902" max="13056" width="9.140625" style="13"/>
    <col min="13057" max="13057" width="4.5703125" style="13" customWidth="1"/>
    <col min="13058" max="13157" width="6.42578125" style="13" customWidth="1"/>
    <col min="13158" max="13312" width="9.140625" style="13"/>
    <col min="13313" max="13313" width="4.5703125" style="13" customWidth="1"/>
    <col min="13314" max="13413" width="6.42578125" style="13" customWidth="1"/>
    <col min="13414" max="13568" width="9.140625" style="13"/>
    <col min="13569" max="13569" width="4.5703125" style="13" customWidth="1"/>
    <col min="13570" max="13669" width="6.42578125" style="13" customWidth="1"/>
    <col min="13670" max="13824" width="9.140625" style="13"/>
    <col min="13825" max="13825" width="4.5703125" style="13" customWidth="1"/>
    <col min="13826" max="13925" width="6.42578125" style="13" customWidth="1"/>
    <col min="13926" max="14080" width="9.140625" style="13"/>
    <col min="14081" max="14081" width="4.5703125" style="13" customWidth="1"/>
    <col min="14082" max="14181" width="6.42578125" style="13" customWidth="1"/>
    <col min="14182" max="14336" width="9.140625" style="13"/>
    <col min="14337" max="14337" width="4.5703125" style="13" customWidth="1"/>
    <col min="14338" max="14437" width="6.42578125" style="13" customWidth="1"/>
    <col min="14438" max="14592" width="9.140625" style="13"/>
    <col min="14593" max="14593" width="4.5703125" style="13" customWidth="1"/>
    <col min="14594" max="14693" width="6.42578125" style="13" customWidth="1"/>
    <col min="14694" max="14848" width="9.140625" style="13"/>
    <col min="14849" max="14849" width="4.5703125" style="13" customWidth="1"/>
    <col min="14850" max="14949" width="6.42578125" style="13" customWidth="1"/>
    <col min="14950" max="15104" width="9.140625" style="13"/>
    <col min="15105" max="15105" width="4.5703125" style="13" customWidth="1"/>
    <col min="15106" max="15205" width="6.42578125" style="13" customWidth="1"/>
    <col min="15206" max="15360" width="9.140625" style="13"/>
    <col min="15361" max="15361" width="4.5703125" style="13" customWidth="1"/>
    <col min="15362" max="15461" width="6.42578125" style="13" customWidth="1"/>
    <col min="15462" max="15616" width="9.140625" style="13"/>
    <col min="15617" max="15617" width="4.5703125" style="13" customWidth="1"/>
    <col min="15618" max="15717" width="6.42578125" style="13" customWidth="1"/>
    <col min="15718" max="15872" width="9.140625" style="13"/>
    <col min="15873" max="15873" width="4.5703125" style="13" customWidth="1"/>
    <col min="15874" max="15973" width="6.42578125" style="13" customWidth="1"/>
    <col min="15974" max="16128" width="9.140625" style="13"/>
    <col min="16129" max="16129" width="4.5703125" style="13" customWidth="1"/>
    <col min="16130" max="16229" width="6.42578125" style="13" customWidth="1"/>
    <col min="16230" max="16384" width="9.140625" style="13"/>
  </cols>
  <sheetData>
    <row r="1" spans="1:101" ht="57" customHeight="1" thickBo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</row>
    <row r="2" spans="1:101" ht="41.25" customHeight="1">
      <c r="A2" s="17" t="s">
        <v>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</row>
    <row r="3" spans="1:101" ht="57" customHeight="1" thickBo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</row>
    <row r="4" spans="1:101" ht="22.5" customHeight="1">
      <c r="A4" s="1" t="s">
        <v>1</v>
      </c>
      <c r="B4" s="21">
        <v>0</v>
      </c>
      <c r="C4" s="2">
        <v>1</v>
      </c>
      <c r="D4" s="2">
        <v>2</v>
      </c>
      <c r="E4" s="2">
        <v>3</v>
      </c>
      <c r="F4" s="2">
        <v>4</v>
      </c>
      <c r="G4" s="2">
        <v>5</v>
      </c>
      <c r="H4" s="2">
        <v>6</v>
      </c>
      <c r="I4" s="2">
        <v>7</v>
      </c>
      <c r="J4" s="2">
        <v>8</v>
      </c>
      <c r="K4" s="3">
        <v>9</v>
      </c>
      <c r="L4" s="18">
        <v>10</v>
      </c>
      <c r="M4" s="2">
        <v>11</v>
      </c>
      <c r="N4" s="2">
        <v>12</v>
      </c>
      <c r="O4" s="2">
        <v>13</v>
      </c>
      <c r="P4" s="2">
        <v>14</v>
      </c>
      <c r="Q4" s="2">
        <v>15</v>
      </c>
      <c r="R4" s="2">
        <v>16</v>
      </c>
      <c r="S4" s="2">
        <v>17</v>
      </c>
      <c r="T4" s="2">
        <v>18</v>
      </c>
      <c r="U4" s="3">
        <v>19</v>
      </c>
      <c r="V4" s="18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3">
        <v>29</v>
      </c>
      <c r="AF4" s="18">
        <v>30</v>
      </c>
      <c r="AG4" s="2">
        <v>31</v>
      </c>
      <c r="AH4" s="2">
        <v>32</v>
      </c>
      <c r="AI4" s="2">
        <v>33</v>
      </c>
      <c r="AJ4" s="2">
        <v>34</v>
      </c>
      <c r="AK4" s="2">
        <v>35</v>
      </c>
      <c r="AL4" s="2">
        <v>36</v>
      </c>
      <c r="AM4" s="2">
        <v>37</v>
      </c>
      <c r="AN4" s="2">
        <v>38</v>
      </c>
      <c r="AO4" s="3">
        <v>39</v>
      </c>
      <c r="AP4" s="18">
        <v>40</v>
      </c>
      <c r="AQ4" s="2">
        <v>41</v>
      </c>
      <c r="AR4" s="2">
        <v>42</v>
      </c>
      <c r="AS4" s="2">
        <v>43</v>
      </c>
      <c r="AT4" s="2">
        <v>44</v>
      </c>
      <c r="AU4" s="2">
        <v>45</v>
      </c>
      <c r="AV4" s="2">
        <v>46</v>
      </c>
      <c r="AW4" s="2">
        <v>47</v>
      </c>
      <c r="AX4" s="2">
        <v>48</v>
      </c>
      <c r="AY4" s="3">
        <v>49</v>
      </c>
      <c r="AZ4" s="18">
        <v>50</v>
      </c>
      <c r="BA4" s="2">
        <v>51</v>
      </c>
      <c r="BB4" s="2">
        <v>52</v>
      </c>
      <c r="BC4" s="2">
        <v>53</v>
      </c>
      <c r="BD4" s="2">
        <v>54</v>
      </c>
      <c r="BE4" s="2">
        <v>55</v>
      </c>
      <c r="BF4" s="2">
        <v>56</v>
      </c>
      <c r="BG4" s="2">
        <v>57</v>
      </c>
      <c r="BH4" s="2">
        <v>58</v>
      </c>
      <c r="BI4" s="3">
        <v>59</v>
      </c>
      <c r="BJ4" s="18">
        <v>60</v>
      </c>
      <c r="BK4" s="2">
        <v>61</v>
      </c>
      <c r="BL4" s="2">
        <v>62</v>
      </c>
      <c r="BM4" s="2">
        <v>63</v>
      </c>
      <c r="BN4" s="2">
        <v>64</v>
      </c>
      <c r="BO4" s="2">
        <v>65</v>
      </c>
      <c r="BP4" s="2">
        <v>66</v>
      </c>
      <c r="BQ4" s="2">
        <v>67</v>
      </c>
      <c r="BR4" s="2">
        <v>68</v>
      </c>
      <c r="BS4" s="3">
        <v>69</v>
      </c>
      <c r="BT4" s="18">
        <v>70</v>
      </c>
      <c r="BU4" s="2">
        <v>71</v>
      </c>
      <c r="BV4" s="2">
        <v>72</v>
      </c>
      <c r="BW4" s="2">
        <v>73</v>
      </c>
      <c r="BX4" s="2">
        <v>74</v>
      </c>
      <c r="BY4" s="2">
        <v>75</v>
      </c>
      <c r="BZ4" s="2">
        <v>76</v>
      </c>
      <c r="CA4" s="2">
        <v>77</v>
      </c>
      <c r="CB4" s="2">
        <v>78</v>
      </c>
      <c r="CC4" s="3">
        <v>79</v>
      </c>
      <c r="CD4" s="18">
        <v>80</v>
      </c>
      <c r="CE4" s="2">
        <v>81</v>
      </c>
      <c r="CF4" s="2">
        <v>82</v>
      </c>
      <c r="CG4" s="2">
        <v>83</v>
      </c>
      <c r="CH4" s="2">
        <v>84</v>
      </c>
      <c r="CI4" s="2">
        <v>85</v>
      </c>
      <c r="CJ4" s="2">
        <v>86</v>
      </c>
      <c r="CK4" s="2">
        <v>87</v>
      </c>
      <c r="CL4" s="2">
        <v>88</v>
      </c>
      <c r="CM4" s="3">
        <v>89</v>
      </c>
      <c r="CN4" s="18">
        <v>90</v>
      </c>
      <c r="CO4" s="2">
        <v>91</v>
      </c>
      <c r="CP4" s="2">
        <v>92</v>
      </c>
      <c r="CQ4" s="2">
        <v>93</v>
      </c>
      <c r="CR4" s="2">
        <v>94</v>
      </c>
      <c r="CS4" s="2">
        <v>95</v>
      </c>
      <c r="CT4" s="2">
        <v>96</v>
      </c>
      <c r="CU4" s="2">
        <v>97</v>
      </c>
      <c r="CV4" s="2">
        <v>98</v>
      </c>
      <c r="CW4" s="3">
        <v>99</v>
      </c>
    </row>
    <row r="5" spans="1:101" ht="20.100000000000001" customHeight="1">
      <c r="A5" s="4">
        <v>13</v>
      </c>
      <c r="B5" s="19">
        <v>203</v>
      </c>
      <c r="C5" s="5">
        <f>B5+0.4</f>
        <v>203.4</v>
      </c>
      <c r="D5" s="5">
        <f t="shared" ref="D5:K5" si="0">C5+0.4</f>
        <v>203.8</v>
      </c>
      <c r="E5" s="5">
        <f t="shared" si="0"/>
        <v>204.20000000000002</v>
      </c>
      <c r="F5" s="5">
        <f t="shared" si="0"/>
        <v>204.60000000000002</v>
      </c>
      <c r="G5" s="5">
        <f t="shared" si="0"/>
        <v>205.00000000000003</v>
      </c>
      <c r="H5" s="5">
        <f t="shared" si="0"/>
        <v>205.40000000000003</v>
      </c>
      <c r="I5" s="5">
        <f t="shared" si="0"/>
        <v>205.80000000000004</v>
      </c>
      <c r="J5" s="5">
        <f t="shared" si="0"/>
        <v>206.20000000000005</v>
      </c>
      <c r="K5" s="6">
        <f t="shared" si="0"/>
        <v>206.60000000000005</v>
      </c>
      <c r="L5" s="19">
        <v>207</v>
      </c>
      <c r="M5" s="5">
        <f>L5+0.6</f>
        <v>207.6</v>
      </c>
      <c r="N5" s="5">
        <f t="shared" ref="N5:U5" si="1">M5+0.6</f>
        <v>208.2</v>
      </c>
      <c r="O5" s="5">
        <f t="shared" si="1"/>
        <v>208.79999999999998</v>
      </c>
      <c r="P5" s="5">
        <f t="shared" si="1"/>
        <v>209.39999999999998</v>
      </c>
      <c r="Q5" s="5">
        <f t="shared" si="1"/>
        <v>209.99999999999997</v>
      </c>
      <c r="R5" s="5">
        <f t="shared" si="1"/>
        <v>210.59999999999997</v>
      </c>
      <c r="S5" s="5">
        <f t="shared" si="1"/>
        <v>211.19999999999996</v>
      </c>
      <c r="T5" s="5">
        <f t="shared" si="1"/>
        <v>211.79999999999995</v>
      </c>
      <c r="U5" s="6">
        <f t="shared" si="1"/>
        <v>212.39999999999995</v>
      </c>
      <c r="V5" s="19">
        <v>213</v>
      </c>
      <c r="W5" s="5">
        <f>V5+0.4</f>
        <v>213.4</v>
      </c>
      <c r="X5" s="5">
        <f t="shared" ref="X5:AE5" si="2">W5+0.4</f>
        <v>213.8</v>
      </c>
      <c r="Y5" s="5">
        <f t="shared" si="2"/>
        <v>214.20000000000002</v>
      </c>
      <c r="Z5" s="5">
        <f t="shared" si="2"/>
        <v>214.60000000000002</v>
      </c>
      <c r="AA5" s="5">
        <f t="shared" si="2"/>
        <v>215.00000000000003</v>
      </c>
      <c r="AB5" s="5">
        <f t="shared" si="2"/>
        <v>215.40000000000003</v>
      </c>
      <c r="AC5" s="5">
        <f t="shared" si="2"/>
        <v>215.80000000000004</v>
      </c>
      <c r="AD5" s="5">
        <f t="shared" si="2"/>
        <v>216.20000000000005</v>
      </c>
      <c r="AE5" s="6">
        <f t="shared" si="2"/>
        <v>216.60000000000005</v>
      </c>
      <c r="AF5" s="19">
        <v>217</v>
      </c>
      <c r="AG5" s="5">
        <f>AF5+0.6</f>
        <v>217.6</v>
      </c>
      <c r="AH5" s="5">
        <f t="shared" ref="AH5:AO5" si="3">AG5+0.6</f>
        <v>218.2</v>
      </c>
      <c r="AI5" s="5">
        <f t="shared" si="3"/>
        <v>218.79999999999998</v>
      </c>
      <c r="AJ5" s="5">
        <f t="shared" si="3"/>
        <v>219.39999999999998</v>
      </c>
      <c r="AK5" s="5">
        <f t="shared" si="3"/>
        <v>219.99999999999997</v>
      </c>
      <c r="AL5" s="5">
        <f t="shared" si="3"/>
        <v>220.59999999999997</v>
      </c>
      <c r="AM5" s="5">
        <f t="shared" si="3"/>
        <v>221.19999999999996</v>
      </c>
      <c r="AN5" s="5">
        <f t="shared" si="3"/>
        <v>221.79999999999995</v>
      </c>
      <c r="AO5" s="6">
        <f t="shared" si="3"/>
        <v>222.39999999999995</v>
      </c>
      <c r="AP5" s="19">
        <v>223</v>
      </c>
      <c r="AQ5" s="5">
        <f>AP5+0.45</f>
        <v>223.45</v>
      </c>
      <c r="AR5" s="5">
        <f t="shared" ref="AR5:AY5" si="4">AQ5+0.45</f>
        <v>223.89999999999998</v>
      </c>
      <c r="AS5" s="5">
        <f t="shared" si="4"/>
        <v>224.34999999999997</v>
      </c>
      <c r="AT5" s="5">
        <f t="shared" si="4"/>
        <v>224.79999999999995</v>
      </c>
      <c r="AU5" s="5">
        <f t="shared" si="4"/>
        <v>225.24999999999994</v>
      </c>
      <c r="AV5" s="5">
        <f t="shared" si="4"/>
        <v>225.69999999999993</v>
      </c>
      <c r="AW5" s="5">
        <f t="shared" si="4"/>
        <v>226.14999999999992</v>
      </c>
      <c r="AX5" s="5">
        <f t="shared" si="4"/>
        <v>226.59999999999991</v>
      </c>
      <c r="AY5" s="6">
        <f t="shared" si="4"/>
        <v>227.0499999999999</v>
      </c>
      <c r="AZ5" s="19">
        <v>227.5</v>
      </c>
      <c r="BA5" s="5">
        <f>AZ5+0.55</f>
        <v>228.05</v>
      </c>
      <c r="BB5" s="5">
        <f t="shared" ref="BB5:BI5" si="5">BA5+0.55</f>
        <v>228.60000000000002</v>
      </c>
      <c r="BC5" s="5">
        <f t="shared" si="5"/>
        <v>229.15000000000003</v>
      </c>
      <c r="BD5" s="5">
        <f t="shared" si="5"/>
        <v>229.70000000000005</v>
      </c>
      <c r="BE5" s="5">
        <f t="shared" si="5"/>
        <v>230.25000000000006</v>
      </c>
      <c r="BF5" s="5">
        <f t="shared" si="5"/>
        <v>230.80000000000007</v>
      </c>
      <c r="BG5" s="5">
        <f t="shared" si="5"/>
        <v>231.35000000000008</v>
      </c>
      <c r="BH5" s="5">
        <f t="shared" si="5"/>
        <v>231.90000000000009</v>
      </c>
      <c r="BI5" s="6">
        <f t="shared" si="5"/>
        <v>232.4500000000001</v>
      </c>
      <c r="BJ5" s="19">
        <v>233</v>
      </c>
      <c r="BK5" s="5">
        <f>BJ5+0.6</f>
        <v>233.6</v>
      </c>
      <c r="BL5" s="5">
        <f t="shared" ref="BL5:BS5" si="6">BK5+0.6</f>
        <v>234.2</v>
      </c>
      <c r="BM5" s="5">
        <f t="shared" si="6"/>
        <v>234.79999999999998</v>
      </c>
      <c r="BN5" s="5">
        <f t="shared" si="6"/>
        <v>235.39999999999998</v>
      </c>
      <c r="BO5" s="5">
        <f t="shared" si="6"/>
        <v>235.99999999999997</v>
      </c>
      <c r="BP5" s="5">
        <f t="shared" si="6"/>
        <v>236.59999999999997</v>
      </c>
      <c r="BQ5" s="5">
        <f t="shared" si="6"/>
        <v>237.19999999999996</v>
      </c>
      <c r="BR5" s="5">
        <f t="shared" si="6"/>
        <v>237.79999999999995</v>
      </c>
      <c r="BS5" s="6">
        <f t="shared" si="6"/>
        <v>238.39999999999995</v>
      </c>
      <c r="BT5" s="19">
        <v>239</v>
      </c>
      <c r="BU5" s="5">
        <f>BT5+0.6</f>
        <v>239.6</v>
      </c>
      <c r="BV5" s="5">
        <f t="shared" ref="BV5:CC5" si="7">BU5+0.6</f>
        <v>240.2</v>
      </c>
      <c r="BW5" s="5">
        <f t="shared" si="7"/>
        <v>240.79999999999998</v>
      </c>
      <c r="BX5" s="5">
        <f t="shared" si="7"/>
        <v>241.39999999999998</v>
      </c>
      <c r="BY5" s="5">
        <f t="shared" si="7"/>
        <v>241.99999999999997</v>
      </c>
      <c r="BZ5" s="5">
        <f t="shared" si="7"/>
        <v>242.59999999999997</v>
      </c>
      <c r="CA5" s="5">
        <f t="shared" si="7"/>
        <v>243.19999999999996</v>
      </c>
      <c r="CB5" s="5">
        <f t="shared" si="7"/>
        <v>243.79999999999995</v>
      </c>
      <c r="CC5" s="6">
        <f t="shared" si="7"/>
        <v>244.39999999999995</v>
      </c>
      <c r="CD5" s="19">
        <v>245</v>
      </c>
      <c r="CE5" s="5">
        <f>CD5+0.5</f>
        <v>245.5</v>
      </c>
      <c r="CF5" s="5">
        <f t="shared" ref="CF5:CM5" si="8">CE5+0.5</f>
        <v>246</v>
      </c>
      <c r="CG5" s="5">
        <f t="shared" si="8"/>
        <v>246.5</v>
      </c>
      <c r="CH5" s="5">
        <f t="shared" si="8"/>
        <v>247</v>
      </c>
      <c r="CI5" s="5">
        <f t="shared" si="8"/>
        <v>247.5</v>
      </c>
      <c r="CJ5" s="5">
        <f t="shared" si="8"/>
        <v>248</v>
      </c>
      <c r="CK5" s="5">
        <f t="shared" si="8"/>
        <v>248.5</v>
      </c>
      <c r="CL5" s="5">
        <f t="shared" si="8"/>
        <v>249</v>
      </c>
      <c r="CM5" s="6">
        <f t="shared" si="8"/>
        <v>249.5</v>
      </c>
      <c r="CN5" s="19">
        <v>250</v>
      </c>
      <c r="CO5" s="5">
        <f>CN5+0.2</f>
        <v>250.2</v>
      </c>
      <c r="CP5" s="5">
        <f t="shared" ref="CP5:CW5" si="9">CO5+0.2</f>
        <v>250.39999999999998</v>
      </c>
      <c r="CQ5" s="5">
        <f t="shared" si="9"/>
        <v>250.59999999999997</v>
      </c>
      <c r="CR5" s="5">
        <f t="shared" si="9"/>
        <v>250.79999999999995</v>
      </c>
      <c r="CS5" s="5">
        <f t="shared" si="9"/>
        <v>250.99999999999994</v>
      </c>
      <c r="CT5" s="5">
        <f t="shared" si="9"/>
        <v>251.19999999999993</v>
      </c>
      <c r="CU5" s="5">
        <f t="shared" si="9"/>
        <v>251.39999999999992</v>
      </c>
      <c r="CV5" s="5">
        <f t="shared" si="9"/>
        <v>251.59999999999991</v>
      </c>
      <c r="CW5" s="6">
        <f t="shared" si="9"/>
        <v>251.7999999999999</v>
      </c>
    </row>
    <row r="6" spans="1:101" ht="20.100000000000001" customHeight="1">
      <c r="A6" s="4">
        <v>14</v>
      </c>
      <c r="B6" s="19">
        <v>252</v>
      </c>
      <c r="C6" s="5">
        <f>B6+1</f>
        <v>253</v>
      </c>
      <c r="D6" s="5">
        <f t="shared" ref="D6:K6" si="10">C6+1</f>
        <v>254</v>
      </c>
      <c r="E6" s="5">
        <f t="shared" si="10"/>
        <v>255</v>
      </c>
      <c r="F6" s="5">
        <f t="shared" si="10"/>
        <v>256</v>
      </c>
      <c r="G6" s="5">
        <f t="shared" si="10"/>
        <v>257</v>
      </c>
      <c r="H6" s="5">
        <f t="shared" si="10"/>
        <v>258</v>
      </c>
      <c r="I6" s="5">
        <f t="shared" si="10"/>
        <v>259</v>
      </c>
      <c r="J6" s="5">
        <f t="shared" si="10"/>
        <v>260</v>
      </c>
      <c r="K6" s="6">
        <f t="shared" si="10"/>
        <v>261</v>
      </c>
      <c r="L6" s="19">
        <v>262</v>
      </c>
      <c r="M6" s="5">
        <f>L6+0.5</f>
        <v>262.5</v>
      </c>
      <c r="N6" s="5">
        <f t="shared" ref="N6:U6" si="11">M6+0.5</f>
        <v>263</v>
      </c>
      <c r="O6" s="5">
        <f t="shared" si="11"/>
        <v>263.5</v>
      </c>
      <c r="P6" s="5">
        <f t="shared" si="11"/>
        <v>264</v>
      </c>
      <c r="Q6" s="5">
        <f t="shared" si="11"/>
        <v>264.5</v>
      </c>
      <c r="R6" s="5">
        <f t="shared" si="11"/>
        <v>265</v>
      </c>
      <c r="S6" s="5">
        <f t="shared" si="11"/>
        <v>265.5</v>
      </c>
      <c r="T6" s="5">
        <f t="shared" si="11"/>
        <v>266</v>
      </c>
      <c r="U6" s="6">
        <f t="shared" si="11"/>
        <v>266.5</v>
      </c>
      <c r="V6" s="19">
        <v>267</v>
      </c>
      <c r="W6" s="5">
        <f>V6+0.65</f>
        <v>267.64999999999998</v>
      </c>
      <c r="X6" s="5">
        <f t="shared" ref="X6:AE6" si="12">W6+0.65</f>
        <v>268.29999999999995</v>
      </c>
      <c r="Y6" s="5">
        <f t="shared" si="12"/>
        <v>268.94999999999993</v>
      </c>
      <c r="Z6" s="5">
        <f t="shared" si="12"/>
        <v>269.59999999999991</v>
      </c>
      <c r="AA6" s="5">
        <f t="shared" si="12"/>
        <v>270.24999999999989</v>
      </c>
      <c r="AB6" s="5">
        <f t="shared" si="12"/>
        <v>270.89999999999986</v>
      </c>
      <c r="AC6" s="5">
        <f t="shared" si="12"/>
        <v>271.54999999999984</v>
      </c>
      <c r="AD6" s="5">
        <f t="shared" si="12"/>
        <v>272.19999999999982</v>
      </c>
      <c r="AE6" s="6">
        <f t="shared" si="12"/>
        <v>272.8499999999998</v>
      </c>
      <c r="AF6" s="19">
        <v>273.5</v>
      </c>
      <c r="AG6" s="5">
        <f>AF6+0.65</f>
        <v>274.14999999999998</v>
      </c>
      <c r="AH6" s="5">
        <f t="shared" ref="AH6:AO6" si="13">AG6+0.65</f>
        <v>274.79999999999995</v>
      </c>
      <c r="AI6" s="5">
        <f t="shared" si="13"/>
        <v>275.44999999999993</v>
      </c>
      <c r="AJ6" s="5">
        <f t="shared" si="13"/>
        <v>276.09999999999991</v>
      </c>
      <c r="AK6" s="5">
        <f t="shared" si="13"/>
        <v>276.74999999999989</v>
      </c>
      <c r="AL6" s="5">
        <f t="shared" si="13"/>
        <v>277.39999999999986</v>
      </c>
      <c r="AM6" s="5">
        <f t="shared" si="13"/>
        <v>278.04999999999984</v>
      </c>
      <c r="AN6" s="5">
        <f t="shared" si="13"/>
        <v>278.69999999999982</v>
      </c>
      <c r="AO6" s="6">
        <f t="shared" si="13"/>
        <v>279.3499999999998</v>
      </c>
      <c r="AP6" s="19">
        <v>280</v>
      </c>
      <c r="AQ6" s="5">
        <f>AP6+0.5</f>
        <v>280.5</v>
      </c>
      <c r="AR6" s="5">
        <f t="shared" ref="AR6:AY6" si="14">AQ6+0.5</f>
        <v>281</v>
      </c>
      <c r="AS6" s="5">
        <f t="shared" si="14"/>
        <v>281.5</v>
      </c>
      <c r="AT6" s="5">
        <f t="shared" si="14"/>
        <v>282</v>
      </c>
      <c r="AU6" s="5">
        <f t="shared" si="14"/>
        <v>282.5</v>
      </c>
      <c r="AV6" s="5">
        <f t="shared" si="14"/>
        <v>283</v>
      </c>
      <c r="AW6" s="5">
        <f t="shared" si="14"/>
        <v>283.5</v>
      </c>
      <c r="AX6" s="5">
        <f t="shared" si="14"/>
        <v>284</v>
      </c>
      <c r="AY6" s="6">
        <f t="shared" si="14"/>
        <v>284.5</v>
      </c>
      <c r="AZ6" s="19">
        <v>285</v>
      </c>
      <c r="BA6" s="5">
        <f>AZ6+0.7</f>
        <v>285.7</v>
      </c>
      <c r="BB6" s="5">
        <f t="shared" ref="BB6:BH6" si="15">BA6+0.7</f>
        <v>286.39999999999998</v>
      </c>
      <c r="BC6" s="5">
        <f t="shared" si="15"/>
        <v>287.09999999999997</v>
      </c>
      <c r="BD6" s="5">
        <f t="shared" si="15"/>
        <v>287.79999999999995</v>
      </c>
      <c r="BE6" s="5">
        <f t="shared" si="15"/>
        <v>288.49999999999994</v>
      </c>
      <c r="BF6" s="5">
        <f t="shared" si="15"/>
        <v>289.19999999999993</v>
      </c>
      <c r="BG6" s="5">
        <f t="shared" si="15"/>
        <v>289.89999999999992</v>
      </c>
      <c r="BH6" s="5">
        <f t="shared" si="15"/>
        <v>290.59999999999991</v>
      </c>
      <c r="BI6" s="6">
        <f>BH6+0.7</f>
        <v>291.2999999999999</v>
      </c>
      <c r="BJ6" s="19">
        <v>292</v>
      </c>
      <c r="BK6" s="5">
        <f>BJ6+0.7</f>
        <v>292.7</v>
      </c>
      <c r="BL6" s="5">
        <f t="shared" ref="BL6:BS6" si="16">BK6+0.7</f>
        <v>293.39999999999998</v>
      </c>
      <c r="BM6" s="5">
        <f t="shared" si="16"/>
        <v>294.09999999999997</v>
      </c>
      <c r="BN6" s="5">
        <f t="shared" si="16"/>
        <v>294.79999999999995</v>
      </c>
      <c r="BO6" s="5">
        <f t="shared" si="16"/>
        <v>295.49999999999994</v>
      </c>
      <c r="BP6" s="5">
        <f t="shared" si="16"/>
        <v>296.19999999999993</v>
      </c>
      <c r="BQ6" s="5">
        <f t="shared" si="16"/>
        <v>296.89999999999992</v>
      </c>
      <c r="BR6" s="5">
        <f t="shared" si="16"/>
        <v>297.59999999999991</v>
      </c>
      <c r="BS6" s="6">
        <f t="shared" si="16"/>
        <v>298.2999999999999</v>
      </c>
      <c r="BT6" s="19">
        <v>299</v>
      </c>
      <c r="BU6" s="5">
        <f>BT6+0.7</f>
        <v>299.7</v>
      </c>
      <c r="BV6" s="5">
        <f t="shared" ref="BV6:CC6" si="17">BU6+0.7</f>
        <v>300.39999999999998</v>
      </c>
      <c r="BW6" s="5">
        <f t="shared" si="17"/>
        <v>301.09999999999997</v>
      </c>
      <c r="BX6" s="5">
        <f t="shared" si="17"/>
        <v>301.79999999999995</v>
      </c>
      <c r="BY6" s="5">
        <f t="shared" si="17"/>
        <v>302.49999999999994</v>
      </c>
      <c r="BZ6" s="5">
        <f t="shared" si="17"/>
        <v>303.19999999999993</v>
      </c>
      <c r="CA6" s="5">
        <f t="shared" si="17"/>
        <v>303.89999999999992</v>
      </c>
      <c r="CB6" s="5">
        <f t="shared" si="17"/>
        <v>304.59999999999991</v>
      </c>
      <c r="CC6" s="6">
        <f t="shared" si="17"/>
        <v>305.2999999999999</v>
      </c>
      <c r="CD6" s="19">
        <v>306</v>
      </c>
      <c r="CE6" s="5">
        <f>CD6+0.7</f>
        <v>306.7</v>
      </c>
      <c r="CF6" s="5">
        <f t="shared" ref="CF6:CM6" si="18">CE6+0.7</f>
        <v>307.39999999999998</v>
      </c>
      <c r="CG6" s="5">
        <f t="shared" si="18"/>
        <v>308.09999999999997</v>
      </c>
      <c r="CH6" s="5">
        <f t="shared" si="18"/>
        <v>308.79999999999995</v>
      </c>
      <c r="CI6" s="5">
        <f t="shared" si="18"/>
        <v>309.49999999999994</v>
      </c>
      <c r="CJ6" s="5">
        <f t="shared" si="18"/>
        <v>310.19999999999993</v>
      </c>
      <c r="CK6" s="5">
        <f t="shared" si="18"/>
        <v>310.89999999999992</v>
      </c>
      <c r="CL6" s="5">
        <f t="shared" si="18"/>
        <v>311.59999999999991</v>
      </c>
      <c r="CM6" s="6">
        <f t="shared" si="18"/>
        <v>312.2999999999999</v>
      </c>
      <c r="CN6" s="19">
        <v>313</v>
      </c>
      <c r="CO6" s="5">
        <f>CN6+0.6</f>
        <v>313.60000000000002</v>
      </c>
      <c r="CP6" s="5">
        <f t="shared" ref="CP6:CW6" si="19">CO6+0.6</f>
        <v>314.20000000000005</v>
      </c>
      <c r="CQ6" s="5">
        <f t="shared" si="19"/>
        <v>314.80000000000007</v>
      </c>
      <c r="CR6" s="5">
        <f t="shared" si="19"/>
        <v>315.40000000000009</v>
      </c>
      <c r="CS6" s="5">
        <f t="shared" si="19"/>
        <v>316.00000000000011</v>
      </c>
      <c r="CT6" s="5">
        <f t="shared" si="19"/>
        <v>316.60000000000014</v>
      </c>
      <c r="CU6" s="5">
        <f t="shared" si="19"/>
        <v>317.20000000000016</v>
      </c>
      <c r="CV6" s="5">
        <f t="shared" si="19"/>
        <v>317.80000000000018</v>
      </c>
      <c r="CW6" s="6">
        <f t="shared" si="19"/>
        <v>318.4000000000002</v>
      </c>
    </row>
    <row r="7" spans="1:101" ht="20.100000000000001" customHeight="1">
      <c r="A7" s="4">
        <v>15</v>
      </c>
      <c r="B7" s="19">
        <v>319</v>
      </c>
      <c r="C7" s="5">
        <f>B7+0.66</f>
        <v>319.66000000000003</v>
      </c>
      <c r="D7" s="5">
        <f t="shared" ref="D7:K7" si="20">C7+0.66</f>
        <v>320.32000000000005</v>
      </c>
      <c r="E7" s="5">
        <f t="shared" si="20"/>
        <v>320.98000000000008</v>
      </c>
      <c r="F7" s="5">
        <f t="shared" si="20"/>
        <v>321.6400000000001</v>
      </c>
      <c r="G7" s="5">
        <f t="shared" si="20"/>
        <v>322.30000000000013</v>
      </c>
      <c r="H7" s="5">
        <f t="shared" si="20"/>
        <v>322.96000000000015</v>
      </c>
      <c r="I7" s="5">
        <f t="shared" si="20"/>
        <v>323.62000000000018</v>
      </c>
      <c r="J7" s="5">
        <f t="shared" si="20"/>
        <v>324.2800000000002</v>
      </c>
      <c r="K7" s="6">
        <f t="shared" si="20"/>
        <v>324.94000000000023</v>
      </c>
      <c r="L7" s="19">
        <v>325</v>
      </c>
      <c r="M7" s="5">
        <v>326.26</v>
      </c>
      <c r="N7" s="5">
        <f t="shared" ref="N7:U7" si="21">M7+0.66</f>
        <v>326.92</v>
      </c>
      <c r="O7" s="5">
        <f t="shared" si="21"/>
        <v>327.58000000000004</v>
      </c>
      <c r="P7" s="5">
        <f t="shared" si="21"/>
        <v>328.24000000000007</v>
      </c>
      <c r="Q7" s="5">
        <f t="shared" si="21"/>
        <v>328.90000000000009</v>
      </c>
      <c r="R7" s="5">
        <f t="shared" si="21"/>
        <v>329.56000000000012</v>
      </c>
      <c r="S7" s="5">
        <f t="shared" si="21"/>
        <v>330.22000000000014</v>
      </c>
      <c r="T7" s="5">
        <f t="shared" si="21"/>
        <v>330.88000000000017</v>
      </c>
      <c r="U7" s="6">
        <f t="shared" si="21"/>
        <v>331.54000000000019</v>
      </c>
      <c r="V7" s="19">
        <v>332.2</v>
      </c>
      <c r="W7" s="5">
        <f>V7+0.63</f>
        <v>332.83</v>
      </c>
      <c r="X7" s="5">
        <f t="shared" ref="X7:AE7" si="22">W7+0.63</f>
        <v>333.46</v>
      </c>
      <c r="Y7" s="5">
        <f t="shared" si="22"/>
        <v>334.09</v>
      </c>
      <c r="Z7" s="5">
        <f t="shared" si="22"/>
        <v>334.71999999999997</v>
      </c>
      <c r="AA7" s="5">
        <f t="shared" si="22"/>
        <v>335.34999999999997</v>
      </c>
      <c r="AB7" s="5">
        <f t="shared" si="22"/>
        <v>335.97999999999996</v>
      </c>
      <c r="AC7" s="5">
        <f t="shared" si="22"/>
        <v>336.60999999999996</v>
      </c>
      <c r="AD7" s="5">
        <f t="shared" si="22"/>
        <v>337.23999999999995</v>
      </c>
      <c r="AE7" s="6">
        <f t="shared" si="22"/>
        <v>337.86999999999995</v>
      </c>
      <c r="AF7" s="19">
        <v>338.5</v>
      </c>
      <c r="AG7" s="5">
        <f>AF7+0.69</f>
        <v>339.19</v>
      </c>
      <c r="AH7" s="5">
        <f t="shared" ref="AH7:AO7" si="23">AG7+0.69</f>
        <v>339.88</v>
      </c>
      <c r="AI7" s="5">
        <f t="shared" si="23"/>
        <v>340.57</v>
      </c>
      <c r="AJ7" s="5">
        <f t="shared" si="23"/>
        <v>341.26</v>
      </c>
      <c r="AK7" s="5">
        <f t="shared" si="23"/>
        <v>341.95</v>
      </c>
      <c r="AL7" s="5">
        <f t="shared" si="23"/>
        <v>342.64</v>
      </c>
      <c r="AM7" s="5">
        <f t="shared" si="23"/>
        <v>343.33</v>
      </c>
      <c r="AN7" s="5">
        <f t="shared" si="23"/>
        <v>344.02</v>
      </c>
      <c r="AO7" s="6">
        <f t="shared" si="23"/>
        <v>344.71</v>
      </c>
      <c r="AP7" s="19">
        <v>345.4</v>
      </c>
      <c r="AQ7" s="5">
        <f>AP7+0.66</f>
        <v>346.06</v>
      </c>
      <c r="AR7" s="5">
        <f t="shared" ref="AR7:AY7" si="24">AQ7+0.66</f>
        <v>346.72</v>
      </c>
      <c r="AS7" s="5">
        <f t="shared" si="24"/>
        <v>347.38000000000005</v>
      </c>
      <c r="AT7" s="5">
        <f t="shared" si="24"/>
        <v>348.04000000000008</v>
      </c>
      <c r="AU7" s="5">
        <f t="shared" si="24"/>
        <v>348.7000000000001</v>
      </c>
      <c r="AV7" s="5">
        <f t="shared" si="24"/>
        <v>349.36000000000013</v>
      </c>
      <c r="AW7" s="5">
        <f t="shared" si="24"/>
        <v>350.02000000000015</v>
      </c>
      <c r="AX7" s="5">
        <f t="shared" si="24"/>
        <v>350.68000000000018</v>
      </c>
      <c r="AY7" s="6">
        <f t="shared" si="24"/>
        <v>351.3400000000002</v>
      </c>
      <c r="AZ7" s="19">
        <v>352</v>
      </c>
      <c r="BA7" s="5">
        <f>AZ7+0.66</f>
        <v>352.66</v>
      </c>
      <c r="BB7" s="5">
        <f t="shared" ref="BB7:BI7" si="25">BA7+0.66</f>
        <v>353.32000000000005</v>
      </c>
      <c r="BC7" s="5">
        <f t="shared" si="25"/>
        <v>353.98000000000008</v>
      </c>
      <c r="BD7" s="5">
        <f t="shared" si="25"/>
        <v>354.6400000000001</v>
      </c>
      <c r="BE7" s="5">
        <f t="shared" si="25"/>
        <v>355.30000000000013</v>
      </c>
      <c r="BF7" s="5">
        <f t="shared" si="25"/>
        <v>355.96000000000015</v>
      </c>
      <c r="BG7" s="5">
        <f t="shared" si="25"/>
        <v>356.62000000000018</v>
      </c>
      <c r="BH7" s="5">
        <f t="shared" si="25"/>
        <v>357.2800000000002</v>
      </c>
      <c r="BI7" s="6">
        <f t="shared" si="25"/>
        <v>357.94000000000023</v>
      </c>
      <c r="BJ7" s="19">
        <v>358.6</v>
      </c>
      <c r="BK7" s="5">
        <f>BJ7+0.66</f>
        <v>359.26000000000005</v>
      </c>
      <c r="BL7" s="5">
        <f t="shared" ref="BL7:BS7" si="26">BK7+0.66</f>
        <v>359.92000000000007</v>
      </c>
      <c r="BM7" s="5">
        <f t="shared" si="26"/>
        <v>360.5800000000001</v>
      </c>
      <c r="BN7" s="5">
        <f t="shared" si="26"/>
        <v>361.24000000000012</v>
      </c>
      <c r="BO7" s="5">
        <f t="shared" si="26"/>
        <v>361.90000000000015</v>
      </c>
      <c r="BP7" s="5">
        <f t="shared" si="26"/>
        <v>362.56000000000017</v>
      </c>
      <c r="BQ7" s="5">
        <f t="shared" si="26"/>
        <v>363.2200000000002</v>
      </c>
      <c r="BR7" s="5">
        <f t="shared" si="26"/>
        <v>363.88000000000022</v>
      </c>
      <c r="BS7" s="6">
        <f t="shared" si="26"/>
        <v>364.54000000000025</v>
      </c>
      <c r="BT7" s="19">
        <v>365.2</v>
      </c>
      <c r="BU7" s="5">
        <f>BT7+0.58</f>
        <v>365.78</v>
      </c>
      <c r="BV7" s="5">
        <f t="shared" ref="BV7:CC7" si="27">BU7+0.58</f>
        <v>366.35999999999996</v>
      </c>
      <c r="BW7" s="5">
        <f t="shared" si="27"/>
        <v>366.93999999999994</v>
      </c>
      <c r="BX7" s="5">
        <f t="shared" si="27"/>
        <v>367.51999999999992</v>
      </c>
      <c r="BY7" s="5">
        <f t="shared" si="27"/>
        <v>368.09999999999991</v>
      </c>
      <c r="BZ7" s="5">
        <f t="shared" si="27"/>
        <v>368.67999999999989</v>
      </c>
      <c r="CA7" s="5">
        <f t="shared" si="27"/>
        <v>369.25999999999988</v>
      </c>
      <c r="CB7" s="5">
        <f t="shared" si="27"/>
        <v>369.83999999999986</v>
      </c>
      <c r="CC7" s="6">
        <f t="shared" si="27"/>
        <v>370.41999999999985</v>
      </c>
      <c r="CD7" s="19">
        <v>371</v>
      </c>
      <c r="CE7" s="5">
        <f>CD7+0.74</f>
        <v>371.74</v>
      </c>
      <c r="CF7" s="5">
        <f t="shared" ref="CF7:CM7" si="28">CE7+0.74</f>
        <v>372.48</v>
      </c>
      <c r="CG7" s="5">
        <f t="shared" si="28"/>
        <v>373.22</v>
      </c>
      <c r="CH7" s="5">
        <f t="shared" si="28"/>
        <v>373.96000000000004</v>
      </c>
      <c r="CI7" s="5">
        <f t="shared" si="28"/>
        <v>374.70000000000005</v>
      </c>
      <c r="CJ7" s="5">
        <f t="shared" si="28"/>
        <v>375.44000000000005</v>
      </c>
      <c r="CK7" s="5">
        <f t="shared" si="28"/>
        <v>376.18000000000006</v>
      </c>
      <c r="CL7" s="5">
        <f t="shared" si="28"/>
        <v>376.92000000000007</v>
      </c>
      <c r="CM7" s="6">
        <f t="shared" si="28"/>
        <v>377.66000000000008</v>
      </c>
      <c r="CN7" s="19">
        <v>378.4</v>
      </c>
      <c r="CO7" s="5">
        <f>CN7+0.66</f>
        <v>379.06</v>
      </c>
      <c r="CP7" s="5">
        <f t="shared" ref="CP7:CW7" si="29">CO7+0.66</f>
        <v>379.72</v>
      </c>
      <c r="CQ7" s="5">
        <f t="shared" si="29"/>
        <v>380.38000000000005</v>
      </c>
      <c r="CR7" s="5">
        <f t="shared" si="29"/>
        <v>381.04000000000008</v>
      </c>
      <c r="CS7" s="5">
        <f t="shared" si="29"/>
        <v>381.7000000000001</v>
      </c>
      <c r="CT7" s="5">
        <f t="shared" si="29"/>
        <v>382.36000000000013</v>
      </c>
      <c r="CU7" s="5">
        <f t="shared" si="29"/>
        <v>383.02000000000015</v>
      </c>
      <c r="CV7" s="5">
        <f t="shared" si="29"/>
        <v>383.68000000000018</v>
      </c>
      <c r="CW7" s="6">
        <f t="shared" si="29"/>
        <v>384.3400000000002</v>
      </c>
    </row>
    <row r="8" spans="1:101" ht="20.100000000000001" customHeight="1">
      <c r="A8" s="4">
        <v>16</v>
      </c>
      <c r="B8" s="19">
        <v>385</v>
      </c>
      <c r="C8" s="5">
        <f>B8+0.85</f>
        <v>385.85</v>
      </c>
      <c r="D8" s="5">
        <f t="shared" ref="D8:K8" si="30">C8+0.85</f>
        <v>386.70000000000005</v>
      </c>
      <c r="E8" s="5">
        <f t="shared" si="30"/>
        <v>387.55000000000007</v>
      </c>
      <c r="F8" s="5">
        <f t="shared" si="30"/>
        <v>388.40000000000009</v>
      </c>
      <c r="G8" s="5">
        <f t="shared" si="30"/>
        <v>389.25000000000011</v>
      </c>
      <c r="H8" s="5">
        <f t="shared" si="30"/>
        <v>390.10000000000014</v>
      </c>
      <c r="I8" s="5">
        <f t="shared" si="30"/>
        <v>390.95000000000016</v>
      </c>
      <c r="J8" s="5">
        <f t="shared" si="30"/>
        <v>391.80000000000018</v>
      </c>
      <c r="K8" s="6">
        <f t="shared" si="30"/>
        <v>392.6500000000002</v>
      </c>
      <c r="L8" s="19">
        <v>393.5</v>
      </c>
      <c r="M8" s="5">
        <f>L8+0.85</f>
        <v>394.35</v>
      </c>
      <c r="N8" s="5">
        <f t="shared" ref="N8:U8" si="31">M8+0.85</f>
        <v>395.20000000000005</v>
      </c>
      <c r="O8" s="5">
        <f t="shared" si="31"/>
        <v>396.05000000000007</v>
      </c>
      <c r="P8" s="5">
        <f t="shared" si="31"/>
        <v>396.90000000000009</v>
      </c>
      <c r="Q8" s="5">
        <f t="shared" si="31"/>
        <v>397.75000000000011</v>
      </c>
      <c r="R8" s="5">
        <f t="shared" si="31"/>
        <v>398.60000000000014</v>
      </c>
      <c r="S8" s="5">
        <f t="shared" si="31"/>
        <v>399.45000000000016</v>
      </c>
      <c r="T8" s="5">
        <f t="shared" si="31"/>
        <v>400.30000000000018</v>
      </c>
      <c r="U8" s="6">
        <f t="shared" si="31"/>
        <v>401.1500000000002</v>
      </c>
      <c r="V8" s="19">
        <v>402</v>
      </c>
      <c r="W8" s="5">
        <f>V8+0.85</f>
        <v>402.85</v>
      </c>
      <c r="X8" s="5">
        <f t="shared" ref="X8:AE8" si="32">W8+0.85</f>
        <v>403.70000000000005</v>
      </c>
      <c r="Y8" s="5">
        <f t="shared" si="32"/>
        <v>404.55000000000007</v>
      </c>
      <c r="Z8" s="5">
        <f t="shared" si="32"/>
        <v>405.40000000000009</v>
      </c>
      <c r="AA8" s="5">
        <f t="shared" si="32"/>
        <v>406.25000000000011</v>
      </c>
      <c r="AB8" s="5">
        <f t="shared" si="32"/>
        <v>407.10000000000014</v>
      </c>
      <c r="AC8" s="5">
        <f t="shared" si="32"/>
        <v>407.95000000000016</v>
      </c>
      <c r="AD8" s="5">
        <f t="shared" si="32"/>
        <v>408.80000000000018</v>
      </c>
      <c r="AE8" s="6">
        <f t="shared" si="32"/>
        <v>409.6500000000002</v>
      </c>
      <c r="AF8" s="19">
        <v>410.5</v>
      </c>
      <c r="AG8" s="5">
        <f>AF8+0.45</f>
        <v>410.95</v>
      </c>
      <c r="AH8" s="5">
        <f t="shared" ref="AH8:AO8" si="33">AG8+0.45</f>
        <v>411.4</v>
      </c>
      <c r="AI8" s="5">
        <f t="shared" si="33"/>
        <v>411.84999999999997</v>
      </c>
      <c r="AJ8" s="5">
        <f t="shared" si="33"/>
        <v>412.29999999999995</v>
      </c>
      <c r="AK8" s="5">
        <f t="shared" si="33"/>
        <v>412.74999999999994</v>
      </c>
      <c r="AL8" s="5">
        <f t="shared" si="33"/>
        <v>413.19999999999993</v>
      </c>
      <c r="AM8" s="5">
        <f t="shared" si="33"/>
        <v>413.64999999999992</v>
      </c>
      <c r="AN8" s="5">
        <f t="shared" si="33"/>
        <v>414.09999999999991</v>
      </c>
      <c r="AO8" s="6">
        <f t="shared" si="33"/>
        <v>414.5499999999999</v>
      </c>
      <c r="AP8" s="19">
        <v>415</v>
      </c>
      <c r="AQ8" s="5">
        <f>AP8+1.25</f>
        <v>416.25</v>
      </c>
      <c r="AR8" s="5">
        <f t="shared" ref="AR8:AY8" si="34">AQ8+1.25</f>
        <v>417.5</v>
      </c>
      <c r="AS8" s="5">
        <f t="shared" si="34"/>
        <v>418.75</v>
      </c>
      <c r="AT8" s="5">
        <f t="shared" si="34"/>
        <v>420</v>
      </c>
      <c r="AU8" s="5">
        <f t="shared" si="34"/>
        <v>421.25</v>
      </c>
      <c r="AV8" s="5">
        <f t="shared" si="34"/>
        <v>422.5</v>
      </c>
      <c r="AW8" s="5">
        <f t="shared" si="34"/>
        <v>423.75</v>
      </c>
      <c r="AX8" s="5">
        <f t="shared" si="34"/>
        <v>425</v>
      </c>
      <c r="AY8" s="6">
        <f t="shared" si="34"/>
        <v>426.25</v>
      </c>
      <c r="AZ8" s="19">
        <v>427.5</v>
      </c>
      <c r="BA8" s="5">
        <f>AZ8+0.85</f>
        <v>428.35</v>
      </c>
      <c r="BB8" s="5">
        <f t="shared" ref="BB8:BI8" si="35">BA8+0.85</f>
        <v>429.20000000000005</v>
      </c>
      <c r="BC8" s="5">
        <f t="shared" si="35"/>
        <v>430.05000000000007</v>
      </c>
      <c r="BD8" s="5">
        <f t="shared" si="35"/>
        <v>430.90000000000009</v>
      </c>
      <c r="BE8" s="5">
        <f t="shared" si="35"/>
        <v>431.75000000000011</v>
      </c>
      <c r="BF8" s="5">
        <f t="shared" si="35"/>
        <v>432.60000000000014</v>
      </c>
      <c r="BG8" s="5">
        <f t="shared" si="35"/>
        <v>433.45000000000016</v>
      </c>
      <c r="BH8" s="5">
        <f t="shared" si="35"/>
        <v>434.30000000000018</v>
      </c>
      <c r="BI8" s="6">
        <f t="shared" si="35"/>
        <v>435.1500000000002</v>
      </c>
      <c r="BJ8" s="19">
        <v>436</v>
      </c>
      <c r="BK8" s="5">
        <f>BJ8+0.85</f>
        <v>436.85</v>
      </c>
      <c r="BL8" s="5">
        <f t="shared" ref="BL8:BS8" si="36">BK8+0.85</f>
        <v>437.70000000000005</v>
      </c>
      <c r="BM8" s="5">
        <f t="shared" si="36"/>
        <v>438.55000000000007</v>
      </c>
      <c r="BN8" s="5">
        <f t="shared" si="36"/>
        <v>439.40000000000009</v>
      </c>
      <c r="BO8" s="5">
        <f t="shared" si="36"/>
        <v>440.25000000000011</v>
      </c>
      <c r="BP8" s="5">
        <f t="shared" si="36"/>
        <v>441.10000000000014</v>
      </c>
      <c r="BQ8" s="5">
        <f t="shared" si="36"/>
        <v>441.95000000000016</v>
      </c>
      <c r="BR8" s="5">
        <f t="shared" si="36"/>
        <v>442.80000000000018</v>
      </c>
      <c r="BS8" s="6">
        <f t="shared" si="36"/>
        <v>443.6500000000002</v>
      </c>
      <c r="BT8" s="19">
        <v>444.5</v>
      </c>
      <c r="BU8" s="5">
        <f>BT8+0.85</f>
        <v>445.35</v>
      </c>
      <c r="BV8" s="5">
        <f t="shared" ref="BV8:CC8" si="37">BU8+0.85</f>
        <v>446.20000000000005</v>
      </c>
      <c r="BW8" s="5">
        <f t="shared" si="37"/>
        <v>447.05000000000007</v>
      </c>
      <c r="BX8" s="5">
        <f t="shared" si="37"/>
        <v>447.90000000000009</v>
      </c>
      <c r="BY8" s="5">
        <f t="shared" si="37"/>
        <v>448.75000000000011</v>
      </c>
      <c r="BZ8" s="5">
        <f t="shared" si="37"/>
        <v>449.60000000000014</v>
      </c>
      <c r="CA8" s="5">
        <f t="shared" si="37"/>
        <v>450.45000000000016</v>
      </c>
      <c r="CB8" s="5">
        <f t="shared" si="37"/>
        <v>451.30000000000018</v>
      </c>
      <c r="CC8" s="6">
        <f t="shared" si="37"/>
        <v>452.1500000000002</v>
      </c>
      <c r="CD8" s="19">
        <v>453</v>
      </c>
      <c r="CE8" s="5">
        <f>CD8+0.85</f>
        <v>453.85</v>
      </c>
      <c r="CF8" s="5">
        <f t="shared" ref="CF8:CM8" si="38">CE8+0.85</f>
        <v>454.70000000000005</v>
      </c>
      <c r="CG8" s="5">
        <f t="shared" si="38"/>
        <v>455.55000000000007</v>
      </c>
      <c r="CH8" s="5">
        <f t="shared" si="38"/>
        <v>456.40000000000009</v>
      </c>
      <c r="CI8" s="5">
        <f t="shared" si="38"/>
        <v>457.25000000000011</v>
      </c>
      <c r="CJ8" s="5">
        <f t="shared" si="38"/>
        <v>458.10000000000014</v>
      </c>
      <c r="CK8" s="5">
        <f t="shared" si="38"/>
        <v>458.95000000000016</v>
      </c>
      <c r="CL8" s="5">
        <f t="shared" si="38"/>
        <v>459.80000000000018</v>
      </c>
      <c r="CM8" s="6">
        <f t="shared" si="38"/>
        <v>460.6500000000002</v>
      </c>
      <c r="CN8" s="19">
        <v>461.5</v>
      </c>
      <c r="CO8" s="5">
        <f>CN8+0.85</f>
        <v>462.35</v>
      </c>
      <c r="CP8" s="5">
        <f t="shared" ref="CP8:CW8" si="39">CO8+0.85</f>
        <v>463.20000000000005</v>
      </c>
      <c r="CQ8" s="5">
        <f t="shared" si="39"/>
        <v>464.05000000000007</v>
      </c>
      <c r="CR8" s="5">
        <f t="shared" si="39"/>
        <v>464.90000000000009</v>
      </c>
      <c r="CS8" s="5">
        <f t="shared" si="39"/>
        <v>465.75000000000011</v>
      </c>
      <c r="CT8" s="5">
        <f t="shared" si="39"/>
        <v>466.60000000000014</v>
      </c>
      <c r="CU8" s="5">
        <f t="shared" si="39"/>
        <v>467.45000000000016</v>
      </c>
      <c r="CV8" s="5">
        <f t="shared" si="39"/>
        <v>468.30000000000018</v>
      </c>
      <c r="CW8" s="6">
        <f t="shared" si="39"/>
        <v>469.1500000000002</v>
      </c>
    </row>
    <row r="9" spans="1:101" ht="20.100000000000001" customHeight="1">
      <c r="A9" s="4">
        <v>17</v>
      </c>
      <c r="B9" s="19">
        <v>470</v>
      </c>
      <c r="C9" s="5">
        <f>B9+0.97</f>
        <v>470.97</v>
      </c>
      <c r="D9" s="5">
        <f t="shared" ref="D9:K9" si="40">C9+0.97</f>
        <v>471.94000000000005</v>
      </c>
      <c r="E9" s="5">
        <f t="shared" si="40"/>
        <v>472.91000000000008</v>
      </c>
      <c r="F9" s="5">
        <f t="shared" si="40"/>
        <v>473.88000000000011</v>
      </c>
      <c r="G9" s="5">
        <f t="shared" si="40"/>
        <v>474.85000000000014</v>
      </c>
      <c r="H9" s="5">
        <f t="shared" si="40"/>
        <v>475.82000000000016</v>
      </c>
      <c r="I9" s="5">
        <f t="shared" si="40"/>
        <v>476.79000000000019</v>
      </c>
      <c r="J9" s="5">
        <f t="shared" si="40"/>
        <v>477.76000000000022</v>
      </c>
      <c r="K9" s="6">
        <f t="shared" si="40"/>
        <v>478.73000000000025</v>
      </c>
      <c r="L9" s="19">
        <v>479.7</v>
      </c>
      <c r="M9" s="5">
        <f>L9+0.97</f>
        <v>480.67</v>
      </c>
      <c r="N9" s="5">
        <f t="shared" ref="N9:U9" si="41">M9+0.97</f>
        <v>481.64000000000004</v>
      </c>
      <c r="O9" s="5">
        <f t="shared" si="41"/>
        <v>482.61000000000007</v>
      </c>
      <c r="P9" s="5">
        <f t="shared" si="41"/>
        <v>483.5800000000001</v>
      </c>
      <c r="Q9" s="5">
        <f t="shared" si="41"/>
        <v>484.55000000000013</v>
      </c>
      <c r="R9" s="5">
        <f t="shared" si="41"/>
        <v>485.52000000000015</v>
      </c>
      <c r="S9" s="5">
        <f t="shared" si="41"/>
        <v>486.49000000000018</v>
      </c>
      <c r="T9" s="5">
        <f t="shared" si="41"/>
        <v>487.46000000000021</v>
      </c>
      <c r="U9" s="6">
        <f t="shared" si="41"/>
        <v>488.43000000000023</v>
      </c>
      <c r="V9" s="19">
        <v>489.4</v>
      </c>
      <c r="W9" s="5">
        <f>V9+0.97</f>
        <v>490.37</v>
      </c>
      <c r="X9" s="5">
        <f t="shared" ref="X9:AE9" si="42">W9+0.97</f>
        <v>491.34000000000003</v>
      </c>
      <c r="Y9" s="5">
        <f t="shared" si="42"/>
        <v>492.31000000000006</v>
      </c>
      <c r="Z9" s="5">
        <f t="shared" si="42"/>
        <v>493.28000000000009</v>
      </c>
      <c r="AA9" s="5">
        <f t="shared" si="42"/>
        <v>494.25000000000011</v>
      </c>
      <c r="AB9" s="5">
        <f t="shared" si="42"/>
        <v>495.22000000000014</v>
      </c>
      <c r="AC9" s="5">
        <f t="shared" si="42"/>
        <v>496.19000000000017</v>
      </c>
      <c r="AD9" s="5">
        <f t="shared" si="42"/>
        <v>497.1600000000002</v>
      </c>
      <c r="AE9" s="6">
        <f t="shared" si="42"/>
        <v>498.13000000000022</v>
      </c>
      <c r="AF9" s="19">
        <v>499.1</v>
      </c>
      <c r="AG9" s="5">
        <f>AF9+0.97</f>
        <v>500.07000000000005</v>
      </c>
      <c r="AH9" s="5">
        <f t="shared" ref="AH9:AO9" si="43">AG9+0.97</f>
        <v>501.04000000000008</v>
      </c>
      <c r="AI9" s="5">
        <f t="shared" si="43"/>
        <v>502.0100000000001</v>
      </c>
      <c r="AJ9" s="5">
        <f t="shared" si="43"/>
        <v>502.98000000000013</v>
      </c>
      <c r="AK9" s="5">
        <f t="shared" si="43"/>
        <v>503.95000000000016</v>
      </c>
      <c r="AL9" s="5">
        <f t="shared" si="43"/>
        <v>504.92000000000019</v>
      </c>
      <c r="AM9" s="5">
        <f t="shared" si="43"/>
        <v>505.89000000000021</v>
      </c>
      <c r="AN9" s="5">
        <f t="shared" si="43"/>
        <v>506.86000000000024</v>
      </c>
      <c r="AO9" s="6">
        <f t="shared" si="43"/>
        <v>507.83000000000027</v>
      </c>
      <c r="AP9" s="19">
        <v>508.8</v>
      </c>
      <c r="AQ9" s="5">
        <f>AP9+0.97</f>
        <v>509.77000000000004</v>
      </c>
      <c r="AR9" s="5">
        <f t="shared" ref="AR9:AY9" si="44">AQ9+0.97</f>
        <v>510.74000000000007</v>
      </c>
      <c r="AS9" s="5">
        <f t="shared" si="44"/>
        <v>511.71000000000009</v>
      </c>
      <c r="AT9" s="5">
        <f t="shared" si="44"/>
        <v>512.68000000000006</v>
      </c>
      <c r="AU9" s="5">
        <f t="shared" si="44"/>
        <v>513.65000000000009</v>
      </c>
      <c r="AV9" s="5">
        <f t="shared" si="44"/>
        <v>514.62000000000012</v>
      </c>
      <c r="AW9" s="5">
        <f t="shared" si="44"/>
        <v>515.59000000000015</v>
      </c>
      <c r="AX9" s="5">
        <f t="shared" si="44"/>
        <v>516.56000000000017</v>
      </c>
      <c r="AY9" s="6">
        <f t="shared" si="44"/>
        <v>517.5300000000002</v>
      </c>
      <c r="AZ9" s="19">
        <v>518.5</v>
      </c>
      <c r="BA9" s="5">
        <f>AZ9+0.97</f>
        <v>519.47</v>
      </c>
      <c r="BB9" s="5">
        <f t="shared" ref="BB9:BI9" si="45">BA9+0.97</f>
        <v>520.44000000000005</v>
      </c>
      <c r="BC9" s="5">
        <f t="shared" si="45"/>
        <v>521.41000000000008</v>
      </c>
      <c r="BD9" s="5">
        <f t="shared" si="45"/>
        <v>522.38000000000011</v>
      </c>
      <c r="BE9" s="5">
        <f t="shared" si="45"/>
        <v>523.35000000000014</v>
      </c>
      <c r="BF9" s="5">
        <f t="shared" si="45"/>
        <v>524.32000000000016</v>
      </c>
      <c r="BG9" s="5">
        <f t="shared" si="45"/>
        <v>525.29000000000019</v>
      </c>
      <c r="BH9" s="5">
        <f t="shared" si="45"/>
        <v>526.26000000000022</v>
      </c>
      <c r="BI9" s="6">
        <f t="shared" si="45"/>
        <v>527.23000000000025</v>
      </c>
      <c r="BJ9" s="19">
        <v>528.20000000000005</v>
      </c>
      <c r="BK9" s="5">
        <f>BJ9+0.97</f>
        <v>529.17000000000007</v>
      </c>
      <c r="BL9" s="5">
        <f t="shared" ref="BL9:BS9" si="46">BK9+0.97</f>
        <v>530.1400000000001</v>
      </c>
      <c r="BM9" s="5">
        <f t="shared" si="46"/>
        <v>531.11000000000013</v>
      </c>
      <c r="BN9" s="5">
        <f t="shared" si="46"/>
        <v>532.08000000000015</v>
      </c>
      <c r="BO9" s="5">
        <f t="shared" si="46"/>
        <v>533.05000000000018</v>
      </c>
      <c r="BP9" s="5">
        <f t="shared" si="46"/>
        <v>534.02000000000021</v>
      </c>
      <c r="BQ9" s="5">
        <f t="shared" si="46"/>
        <v>534.99000000000024</v>
      </c>
      <c r="BR9" s="5">
        <f t="shared" si="46"/>
        <v>535.96000000000026</v>
      </c>
      <c r="BS9" s="6">
        <f t="shared" si="46"/>
        <v>536.93000000000029</v>
      </c>
      <c r="BT9" s="19">
        <v>537.9</v>
      </c>
      <c r="BU9" s="5">
        <f>BT9+0.97</f>
        <v>538.87</v>
      </c>
      <c r="BV9" s="5">
        <f t="shared" ref="BV9:CC9" si="47">BU9+0.97</f>
        <v>539.84</v>
      </c>
      <c r="BW9" s="5">
        <f t="shared" si="47"/>
        <v>540.81000000000006</v>
      </c>
      <c r="BX9" s="5">
        <f t="shared" si="47"/>
        <v>541.78000000000009</v>
      </c>
      <c r="BY9" s="5">
        <f t="shared" si="47"/>
        <v>542.75000000000011</v>
      </c>
      <c r="BZ9" s="5">
        <f t="shared" si="47"/>
        <v>543.72000000000014</v>
      </c>
      <c r="CA9" s="5">
        <f t="shared" si="47"/>
        <v>544.69000000000017</v>
      </c>
      <c r="CB9" s="5">
        <f t="shared" si="47"/>
        <v>545.6600000000002</v>
      </c>
      <c r="CC9" s="6">
        <f t="shared" si="47"/>
        <v>546.63000000000022</v>
      </c>
      <c r="CD9" s="19">
        <v>547.6</v>
      </c>
      <c r="CE9" s="5">
        <f>CD9+0.97</f>
        <v>548.57000000000005</v>
      </c>
      <c r="CF9" s="5">
        <f t="shared" ref="CF9:CM9" si="48">CE9+0.97</f>
        <v>549.54000000000008</v>
      </c>
      <c r="CG9" s="5">
        <f t="shared" si="48"/>
        <v>550.5100000000001</v>
      </c>
      <c r="CH9" s="5">
        <f t="shared" si="48"/>
        <v>551.48000000000013</v>
      </c>
      <c r="CI9" s="5">
        <f t="shared" si="48"/>
        <v>552.45000000000016</v>
      </c>
      <c r="CJ9" s="5">
        <f t="shared" si="48"/>
        <v>553.42000000000019</v>
      </c>
      <c r="CK9" s="5">
        <f t="shared" si="48"/>
        <v>554.39000000000021</v>
      </c>
      <c r="CL9" s="5">
        <f t="shared" si="48"/>
        <v>555.36000000000024</v>
      </c>
      <c r="CM9" s="6">
        <f t="shared" si="48"/>
        <v>556.33000000000027</v>
      </c>
      <c r="CN9" s="19">
        <v>557.29999999999995</v>
      </c>
      <c r="CO9" s="5">
        <f>CN9+0.97</f>
        <v>558.27</v>
      </c>
      <c r="CP9" s="5">
        <f t="shared" ref="CP9:CW9" si="49">CO9+0.97</f>
        <v>559.24</v>
      </c>
      <c r="CQ9" s="5">
        <f t="shared" si="49"/>
        <v>560.21</v>
      </c>
      <c r="CR9" s="5">
        <f t="shared" si="49"/>
        <v>561.18000000000006</v>
      </c>
      <c r="CS9" s="5">
        <f t="shared" si="49"/>
        <v>562.15000000000009</v>
      </c>
      <c r="CT9" s="5">
        <f t="shared" si="49"/>
        <v>563.12000000000012</v>
      </c>
      <c r="CU9" s="5">
        <f t="shared" si="49"/>
        <v>564.09000000000015</v>
      </c>
      <c r="CV9" s="5">
        <f t="shared" si="49"/>
        <v>565.06000000000017</v>
      </c>
      <c r="CW9" s="6">
        <f t="shared" si="49"/>
        <v>566.0300000000002</v>
      </c>
    </row>
    <row r="10" spans="1:101" ht="20.100000000000001" customHeight="1">
      <c r="A10" s="4">
        <v>18</v>
      </c>
      <c r="B10" s="19">
        <v>567</v>
      </c>
      <c r="C10" s="5">
        <f>B10+1.12</f>
        <v>568.12</v>
      </c>
      <c r="D10" s="5">
        <f t="shared" ref="D10:K10" si="50">C10+1.12</f>
        <v>569.24</v>
      </c>
      <c r="E10" s="5">
        <f t="shared" si="50"/>
        <v>570.36</v>
      </c>
      <c r="F10" s="5">
        <f t="shared" si="50"/>
        <v>571.48</v>
      </c>
      <c r="G10" s="5">
        <f t="shared" si="50"/>
        <v>572.6</v>
      </c>
      <c r="H10" s="5">
        <f t="shared" si="50"/>
        <v>573.72</v>
      </c>
      <c r="I10" s="5">
        <f t="shared" si="50"/>
        <v>574.84</v>
      </c>
      <c r="J10" s="5">
        <f t="shared" si="50"/>
        <v>575.96</v>
      </c>
      <c r="K10" s="6">
        <f t="shared" si="50"/>
        <v>577.08000000000004</v>
      </c>
      <c r="L10" s="19">
        <v>578.20000000000005</v>
      </c>
      <c r="M10" s="5">
        <f>L10+1.12</f>
        <v>579.32000000000005</v>
      </c>
      <c r="N10" s="5">
        <f t="shared" ref="N10:U10" si="51">M10+1.12</f>
        <v>580.44000000000005</v>
      </c>
      <c r="O10" s="5">
        <f t="shared" si="51"/>
        <v>581.56000000000006</v>
      </c>
      <c r="P10" s="5">
        <f t="shared" si="51"/>
        <v>582.68000000000006</v>
      </c>
      <c r="Q10" s="5">
        <f t="shared" si="51"/>
        <v>583.80000000000007</v>
      </c>
      <c r="R10" s="5">
        <f t="shared" si="51"/>
        <v>584.92000000000007</v>
      </c>
      <c r="S10" s="5">
        <f t="shared" si="51"/>
        <v>586.04000000000008</v>
      </c>
      <c r="T10" s="5">
        <f t="shared" si="51"/>
        <v>587.16000000000008</v>
      </c>
      <c r="U10" s="6">
        <f t="shared" si="51"/>
        <v>588.28000000000009</v>
      </c>
      <c r="V10" s="19">
        <v>589.4</v>
      </c>
      <c r="W10" s="5">
        <f>V10+1.12</f>
        <v>590.52</v>
      </c>
      <c r="X10" s="5">
        <f t="shared" ref="X10:AE10" si="52">W10+1.12</f>
        <v>591.64</v>
      </c>
      <c r="Y10" s="5">
        <f t="shared" si="52"/>
        <v>592.76</v>
      </c>
      <c r="Z10" s="5">
        <f t="shared" si="52"/>
        <v>593.88</v>
      </c>
      <c r="AA10" s="5">
        <f t="shared" si="52"/>
        <v>595</v>
      </c>
      <c r="AB10" s="5">
        <f t="shared" si="52"/>
        <v>596.12</v>
      </c>
      <c r="AC10" s="5">
        <f t="shared" si="52"/>
        <v>597.24</v>
      </c>
      <c r="AD10" s="5">
        <f t="shared" si="52"/>
        <v>598.36</v>
      </c>
      <c r="AE10" s="6">
        <f t="shared" si="52"/>
        <v>599.48</v>
      </c>
      <c r="AF10" s="19">
        <v>600.6</v>
      </c>
      <c r="AG10" s="5">
        <f>AF10+1.12</f>
        <v>601.72</v>
      </c>
      <c r="AH10" s="5">
        <f t="shared" ref="AH10:AO10" si="53">AG10+1.12</f>
        <v>602.84</v>
      </c>
      <c r="AI10" s="5">
        <f t="shared" si="53"/>
        <v>603.96</v>
      </c>
      <c r="AJ10" s="5">
        <f t="shared" si="53"/>
        <v>605.08000000000004</v>
      </c>
      <c r="AK10" s="5">
        <f t="shared" si="53"/>
        <v>606.20000000000005</v>
      </c>
      <c r="AL10" s="5">
        <f t="shared" si="53"/>
        <v>607.32000000000005</v>
      </c>
      <c r="AM10" s="5">
        <f t="shared" si="53"/>
        <v>608.44000000000005</v>
      </c>
      <c r="AN10" s="5">
        <f t="shared" si="53"/>
        <v>609.56000000000006</v>
      </c>
      <c r="AO10" s="6">
        <f t="shared" si="53"/>
        <v>610.68000000000006</v>
      </c>
      <c r="AP10" s="19">
        <v>611.79999999999995</v>
      </c>
      <c r="AQ10" s="5">
        <f>AP10+1.12</f>
        <v>612.91999999999996</v>
      </c>
      <c r="AR10" s="5">
        <f t="shared" ref="AR10:AY10" si="54">AQ10+1.12</f>
        <v>614.04</v>
      </c>
      <c r="AS10" s="5">
        <f t="shared" si="54"/>
        <v>615.16</v>
      </c>
      <c r="AT10" s="5">
        <f t="shared" si="54"/>
        <v>616.28</v>
      </c>
      <c r="AU10" s="5">
        <f t="shared" si="54"/>
        <v>617.4</v>
      </c>
      <c r="AV10" s="5">
        <f t="shared" si="54"/>
        <v>618.52</v>
      </c>
      <c r="AW10" s="5">
        <f t="shared" si="54"/>
        <v>619.64</v>
      </c>
      <c r="AX10" s="5">
        <f t="shared" si="54"/>
        <v>620.76</v>
      </c>
      <c r="AY10" s="6">
        <f t="shared" si="54"/>
        <v>621.88</v>
      </c>
      <c r="AZ10" s="19">
        <v>623</v>
      </c>
      <c r="BA10" s="5">
        <f>AZ10+1.12</f>
        <v>624.12</v>
      </c>
      <c r="BB10" s="5">
        <f t="shared" ref="BB10:BI10" si="55">BA10+1.12</f>
        <v>625.24</v>
      </c>
      <c r="BC10" s="5">
        <f t="shared" si="55"/>
        <v>626.36</v>
      </c>
      <c r="BD10" s="5">
        <f t="shared" si="55"/>
        <v>627.48</v>
      </c>
      <c r="BE10" s="5">
        <f t="shared" si="55"/>
        <v>628.6</v>
      </c>
      <c r="BF10" s="5">
        <f t="shared" si="55"/>
        <v>629.72</v>
      </c>
      <c r="BG10" s="5">
        <f t="shared" si="55"/>
        <v>630.84</v>
      </c>
      <c r="BH10" s="5">
        <f t="shared" si="55"/>
        <v>631.96</v>
      </c>
      <c r="BI10" s="6">
        <f t="shared" si="55"/>
        <v>633.08000000000004</v>
      </c>
      <c r="BJ10" s="19">
        <v>634.20000000000005</v>
      </c>
      <c r="BK10" s="5">
        <f>BJ10+1.12</f>
        <v>635.32000000000005</v>
      </c>
      <c r="BL10" s="5">
        <f t="shared" ref="BL10:BS10" si="56">BK10+1.12</f>
        <v>636.44000000000005</v>
      </c>
      <c r="BM10" s="5">
        <f t="shared" si="56"/>
        <v>637.56000000000006</v>
      </c>
      <c r="BN10" s="5">
        <f t="shared" si="56"/>
        <v>638.68000000000006</v>
      </c>
      <c r="BO10" s="5">
        <f t="shared" si="56"/>
        <v>639.80000000000007</v>
      </c>
      <c r="BP10" s="5">
        <f t="shared" si="56"/>
        <v>640.92000000000007</v>
      </c>
      <c r="BQ10" s="5">
        <f t="shared" si="56"/>
        <v>642.04000000000008</v>
      </c>
      <c r="BR10" s="5">
        <f t="shared" si="56"/>
        <v>643.16000000000008</v>
      </c>
      <c r="BS10" s="6">
        <f t="shared" si="56"/>
        <v>644.28000000000009</v>
      </c>
      <c r="BT10" s="19">
        <v>645.4</v>
      </c>
      <c r="BU10" s="5">
        <f>BT10+1.12</f>
        <v>646.52</v>
      </c>
      <c r="BV10" s="5">
        <f t="shared" ref="BV10:CC10" si="57">BU10+1.12</f>
        <v>647.64</v>
      </c>
      <c r="BW10" s="5">
        <f t="shared" si="57"/>
        <v>648.76</v>
      </c>
      <c r="BX10" s="5">
        <f t="shared" si="57"/>
        <v>649.88</v>
      </c>
      <c r="BY10" s="5">
        <f t="shared" si="57"/>
        <v>651</v>
      </c>
      <c r="BZ10" s="5">
        <f t="shared" si="57"/>
        <v>652.12</v>
      </c>
      <c r="CA10" s="5">
        <f t="shared" si="57"/>
        <v>653.24</v>
      </c>
      <c r="CB10" s="5">
        <f t="shared" si="57"/>
        <v>654.36</v>
      </c>
      <c r="CC10" s="6">
        <f t="shared" si="57"/>
        <v>655.48</v>
      </c>
      <c r="CD10" s="19">
        <v>656.6</v>
      </c>
      <c r="CE10" s="5">
        <f>CD10+1.12</f>
        <v>657.72</v>
      </c>
      <c r="CF10" s="5">
        <f t="shared" ref="CF10:CM10" si="58">CE10+1.12</f>
        <v>658.84</v>
      </c>
      <c r="CG10" s="5">
        <f t="shared" si="58"/>
        <v>659.96</v>
      </c>
      <c r="CH10" s="5">
        <f t="shared" si="58"/>
        <v>661.08</v>
      </c>
      <c r="CI10" s="5">
        <f t="shared" si="58"/>
        <v>662.2</v>
      </c>
      <c r="CJ10" s="5">
        <f t="shared" si="58"/>
        <v>663.32</v>
      </c>
      <c r="CK10" s="5">
        <f t="shared" si="58"/>
        <v>664.44</v>
      </c>
      <c r="CL10" s="5">
        <f t="shared" si="58"/>
        <v>665.56000000000006</v>
      </c>
      <c r="CM10" s="6">
        <f t="shared" si="58"/>
        <v>666.68000000000006</v>
      </c>
      <c r="CN10" s="19">
        <v>667.8</v>
      </c>
      <c r="CO10" s="5">
        <f>CN10+1.12</f>
        <v>668.92</v>
      </c>
      <c r="CP10" s="5">
        <f t="shared" ref="CP10:CW10" si="59">CO10+1.12</f>
        <v>670.04</v>
      </c>
      <c r="CQ10" s="5">
        <f t="shared" si="59"/>
        <v>671.16</v>
      </c>
      <c r="CR10" s="5">
        <f t="shared" si="59"/>
        <v>672.28</v>
      </c>
      <c r="CS10" s="5">
        <f t="shared" si="59"/>
        <v>673.4</v>
      </c>
      <c r="CT10" s="5">
        <f t="shared" si="59"/>
        <v>674.52</v>
      </c>
      <c r="CU10" s="5">
        <f t="shared" si="59"/>
        <v>675.64</v>
      </c>
      <c r="CV10" s="5">
        <f t="shared" si="59"/>
        <v>676.76</v>
      </c>
      <c r="CW10" s="6">
        <f t="shared" si="59"/>
        <v>677.88</v>
      </c>
    </row>
    <row r="11" spans="1:101" ht="20.100000000000001" customHeight="1">
      <c r="A11" s="4">
        <v>19</v>
      </c>
      <c r="B11" s="19">
        <v>679</v>
      </c>
      <c r="C11" s="5">
        <f>B11+1.19</f>
        <v>680.19</v>
      </c>
      <c r="D11" s="5">
        <f t="shared" ref="D11:K11" si="60">C11+1.19</f>
        <v>681.38000000000011</v>
      </c>
      <c r="E11" s="5">
        <f t="shared" si="60"/>
        <v>682.57000000000016</v>
      </c>
      <c r="F11" s="5">
        <f t="shared" si="60"/>
        <v>683.76000000000022</v>
      </c>
      <c r="G11" s="5">
        <f t="shared" si="60"/>
        <v>684.95000000000027</v>
      </c>
      <c r="H11" s="5">
        <f t="shared" si="60"/>
        <v>686.14000000000033</v>
      </c>
      <c r="I11" s="5">
        <f t="shared" si="60"/>
        <v>687.33000000000038</v>
      </c>
      <c r="J11" s="5">
        <f t="shared" si="60"/>
        <v>688.52000000000044</v>
      </c>
      <c r="K11" s="6">
        <f t="shared" si="60"/>
        <v>689.71000000000049</v>
      </c>
      <c r="L11" s="19">
        <v>690.9</v>
      </c>
      <c r="M11" s="5">
        <f>L11+1.19</f>
        <v>692.09</v>
      </c>
      <c r="N11" s="5">
        <f t="shared" ref="N11:U11" si="61">M11+1.19</f>
        <v>693.28000000000009</v>
      </c>
      <c r="O11" s="5">
        <f t="shared" si="61"/>
        <v>694.47000000000014</v>
      </c>
      <c r="P11" s="5">
        <f t="shared" si="61"/>
        <v>695.6600000000002</v>
      </c>
      <c r="Q11" s="5">
        <f t="shared" si="61"/>
        <v>696.85000000000025</v>
      </c>
      <c r="R11" s="5">
        <f t="shared" si="61"/>
        <v>698.0400000000003</v>
      </c>
      <c r="S11" s="5">
        <f t="shared" si="61"/>
        <v>699.23000000000036</v>
      </c>
      <c r="T11" s="5">
        <f t="shared" si="61"/>
        <v>700.42000000000041</v>
      </c>
      <c r="U11" s="6">
        <f t="shared" si="61"/>
        <v>701.61000000000047</v>
      </c>
      <c r="V11" s="19">
        <v>702.8</v>
      </c>
      <c r="W11" s="5">
        <f>V11+1.19</f>
        <v>703.99</v>
      </c>
      <c r="X11" s="5">
        <f t="shared" ref="X11:AE11" si="62">W11+1.19</f>
        <v>705.18000000000006</v>
      </c>
      <c r="Y11" s="5">
        <f t="shared" si="62"/>
        <v>706.37000000000012</v>
      </c>
      <c r="Z11" s="5">
        <f t="shared" si="62"/>
        <v>707.56000000000017</v>
      </c>
      <c r="AA11" s="5">
        <f t="shared" si="62"/>
        <v>708.75000000000023</v>
      </c>
      <c r="AB11" s="5">
        <f t="shared" si="62"/>
        <v>709.94000000000028</v>
      </c>
      <c r="AC11" s="5">
        <f t="shared" si="62"/>
        <v>711.13000000000034</v>
      </c>
      <c r="AD11" s="5">
        <f t="shared" si="62"/>
        <v>712.32000000000039</v>
      </c>
      <c r="AE11" s="6">
        <f t="shared" si="62"/>
        <v>713.51000000000045</v>
      </c>
      <c r="AF11" s="19">
        <v>714.7</v>
      </c>
      <c r="AG11" s="5">
        <f>AF11+1.19</f>
        <v>715.8900000000001</v>
      </c>
      <c r="AH11" s="5">
        <f t="shared" ref="AH11:AO11" si="63">AG11+1.19</f>
        <v>717.08000000000015</v>
      </c>
      <c r="AI11" s="5">
        <f t="shared" si="63"/>
        <v>718.27000000000021</v>
      </c>
      <c r="AJ11" s="5">
        <f t="shared" si="63"/>
        <v>719.46000000000026</v>
      </c>
      <c r="AK11" s="5">
        <f t="shared" si="63"/>
        <v>720.65000000000032</v>
      </c>
      <c r="AL11" s="5">
        <f t="shared" si="63"/>
        <v>721.84000000000037</v>
      </c>
      <c r="AM11" s="5">
        <f t="shared" si="63"/>
        <v>723.03000000000043</v>
      </c>
      <c r="AN11" s="5">
        <f t="shared" si="63"/>
        <v>724.22000000000048</v>
      </c>
      <c r="AO11" s="6">
        <f t="shared" si="63"/>
        <v>725.41000000000054</v>
      </c>
      <c r="AP11" s="19">
        <v>726.6</v>
      </c>
      <c r="AQ11" s="5">
        <f>AP11+1.19</f>
        <v>727.79000000000008</v>
      </c>
      <c r="AR11" s="5">
        <f t="shared" ref="AR11:AY11" si="64">AQ11+1.19</f>
        <v>728.98000000000013</v>
      </c>
      <c r="AS11" s="5">
        <f t="shared" si="64"/>
        <v>730.17000000000019</v>
      </c>
      <c r="AT11" s="5">
        <f t="shared" si="64"/>
        <v>731.36000000000024</v>
      </c>
      <c r="AU11" s="5">
        <f t="shared" si="64"/>
        <v>732.5500000000003</v>
      </c>
      <c r="AV11" s="5">
        <f t="shared" si="64"/>
        <v>733.74000000000035</v>
      </c>
      <c r="AW11" s="5">
        <f t="shared" si="64"/>
        <v>734.9300000000004</v>
      </c>
      <c r="AX11" s="5">
        <f t="shared" si="64"/>
        <v>736.12000000000046</v>
      </c>
      <c r="AY11" s="6">
        <f t="shared" si="64"/>
        <v>737.31000000000051</v>
      </c>
      <c r="AZ11" s="19">
        <v>738.5</v>
      </c>
      <c r="BA11" s="5">
        <f>AZ11+1.19</f>
        <v>739.69</v>
      </c>
      <c r="BB11" s="5">
        <f t="shared" ref="BB11:BI11" si="65">BA11+1.19</f>
        <v>740.88000000000011</v>
      </c>
      <c r="BC11" s="5">
        <f t="shared" si="65"/>
        <v>742.07000000000016</v>
      </c>
      <c r="BD11" s="5">
        <f t="shared" si="65"/>
        <v>743.26000000000022</v>
      </c>
      <c r="BE11" s="5">
        <f t="shared" si="65"/>
        <v>744.45000000000027</v>
      </c>
      <c r="BF11" s="5">
        <f t="shared" si="65"/>
        <v>745.64000000000033</v>
      </c>
      <c r="BG11" s="5">
        <f t="shared" si="65"/>
        <v>746.83000000000038</v>
      </c>
      <c r="BH11" s="5">
        <f t="shared" si="65"/>
        <v>748.02000000000044</v>
      </c>
      <c r="BI11" s="6">
        <f t="shared" si="65"/>
        <v>749.21000000000049</v>
      </c>
      <c r="BJ11" s="19">
        <v>750.4</v>
      </c>
      <c r="BK11" s="5">
        <f>BJ11+1.19</f>
        <v>751.59</v>
      </c>
      <c r="BL11" s="5">
        <f t="shared" ref="BL11:BS11" si="66">BK11+1.19</f>
        <v>752.78000000000009</v>
      </c>
      <c r="BM11" s="5">
        <f t="shared" si="66"/>
        <v>753.97000000000014</v>
      </c>
      <c r="BN11" s="5">
        <f t="shared" si="66"/>
        <v>755.1600000000002</v>
      </c>
      <c r="BO11" s="5">
        <f t="shared" si="66"/>
        <v>756.35000000000025</v>
      </c>
      <c r="BP11" s="5">
        <f t="shared" si="66"/>
        <v>757.5400000000003</v>
      </c>
      <c r="BQ11" s="5">
        <f t="shared" si="66"/>
        <v>758.73000000000036</v>
      </c>
      <c r="BR11" s="5">
        <f t="shared" si="66"/>
        <v>759.92000000000041</v>
      </c>
      <c r="BS11" s="6">
        <f t="shared" si="66"/>
        <v>761.11000000000047</v>
      </c>
      <c r="BT11" s="19">
        <v>762.3</v>
      </c>
      <c r="BU11" s="5">
        <f>BT11+1.19</f>
        <v>763.49</v>
      </c>
      <c r="BV11" s="5">
        <f t="shared" ref="BV11:CC11" si="67">BU11+1.19</f>
        <v>764.68000000000006</v>
      </c>
      <c r="BW11" s="5">
        <f t="shared" si="67"/>
        <v>765.87000000000012</v>
      </c>
      <c r="BX11" s="5">
        <f t="shared" si="67"/>
        <v>767.06000000000017</v>
      </c>
      <c r="BY11" s="5">
        <f t="shared" si="67"/>
        <v>768.25000000000023</v>
      </c>
      <c r="BZ11" s="5">
        <f t="shared" si="67"/>
        <v>769.44000000000028</v>
      </c>
      <c r="CA11" s="5">
        <f t="shared" si="67"/>
        <v>770.63000000000034</v>
      </c>
      <c r="CB11" s="5">
        <f t="shared" si="67"/>
        <v>771.82000000000039</v>
      </c>
      <c r="CC11" s="6">
        <f t="shared" si="67"/>
        <v>773.01000000000045</v>
      </c>
      <c r="CD11" s="19">
        <v>774.2</v>
      </c>
      <c r="CE11" s="5">
        <f>CD11+1.19</f>
        <v>775.3900000000001</v>
      </c>
      <c r="CF11" s="5">
        <f t="shared" ref="CF11:CM11" si="68">CE11+1.19</f>
        <v>776.58000000000015</v>
      </c>
      <c r="CG11" s="5">
        <f t="shared" si="68"/>
        <v>777.77000000000021</v>
      </c>
      <c r="CH11" s="5">
        <f t="shared" si="68"/>
        <v>778.96000000000026</v>
      </c>
      <c r="CI11" s="5">
        <f t="shared" si="68"/>
        <v>780.15000000000032</v>
      </c>
      <c r="CJ11" s="5">
        <f t="shared" si="68"/>
        <v>781.34000000000037</v>
      </c>
      <c r="CK11" s="5">
        <f t="shared" si="68"/>
        <v>782.53000000000043</v>
      </c>
      <c r="CL11" s="5">
        <f t="shared" si="68"/>
        <v>783.72000000000048</v>
      </c>
      <c r="CM11" s="6">
        <f t="shared" si="68"/>
        <v>784.91000000000054</v>
      </c>
      <c r="CN11" s="19">
        <v>786.1</v>
      </c>
      <c r="CO11" s="5">
        <f>CN11+1.19</f>
        <v>787.29000000000008</v>
      </c>
      <c r="CP11" s="5">
        <f t="shared" ref="CP11:CW11" si="69">CO11+1.19</f>
        <v>788.48000000000013</v>
      </c>
      <c r="CQ11" s="5">
        <f t="shared" si="69"/>
        <v>789.67000000000019</v>
      </c>
      <c r="CR11" s="5">
        <f t="shared" si="69"/>
        <v>790.86000000000024</v>
      </c>
      <c r="CS11" s="5">
        <f t="shared" si="69"/>
        <v>792.0500000000003</v>
      </c>
      <c r="CT11" s="5">
        <f t="shared" si="69"/>
        <v>793.24000000000035</v>
      </c>
      <c r="CU11" s="5">
        <f t="shared" si="69"/>
        <v>794.4300000000004</v>
      </c>
      <c r="CV11" s="5">
        <f t="shared" si="69"/>
        <v>795.62000000000046</v>
      </c>
      <c r="CW11" s="6">
        <f t="shared" si="69"/>
        <v>796.81000000000051</v>
      </c>
    </row>
    <row r="12" spans="1:101" ht="20.100000000000001" customHeight="1">
      <c r="A12" s="4">
        <v>20</v>
      </c>
      <c r="B12" s="19">
        <v>798</v>
      </c>
      <c r="C12" s="5">
        <f>B12+1.4</f>
        <v>799.4</v>
      </c>
      <c r="D12" s="5">
        <f t="shared" ref="D12:K12" si="70">C12+1.4</f>
        <v>800.8</v>
      </c>
      <c r="E12" s="5">
        <f t="shared" si="70"/>
        <v>802.19999999999993</v>
      </c>
      <c r="F12" s="5">
        <f t="shared" si="70"/>
        <v>803.59999999999991</v>
      </c>
      <c r="G12" s="5">
        <f t="shared" si="70"/>
        <v>804.99999999999989</v>
      </c>
      <c r="H12" s="5">
        <f t="shared" si="70"/>
        <v>806.39999999999986</v>
      </c>
      <c r="I12" s="5">
        <f t="shared" si="70"/>
        <v>807.79999999999984</v>
      </c>
      <c r="J12" s="5">
        <f t="shared" si="70"/>
        <v>809.19999999999982</v>
      </c>
      <c r="K12" s="6">
        <f t="shared" si="70"/>
        <v>810.5999999999998</v>
      </c>
      <c r="L12" s="19">
        <v>812</v>
      </c>
      <c r="M12" s="5">
        <f>L12+1.4</f>
        <v>813.4</v>
      </c>
      <c r="N12" s="5">
        <f t="shared" ref="N12:U12" si="71">M12+1.4</f>
        <v>814.8</v>
      </c>
      <c r="O12" s="5">
        <f t="shared" si="71"/>
        <v>816.19999999999993</v>
      </c>
      <c r="P12" s="5">
        <f t="shared" si="71"/>
        <v>817.59999999999991</v>
      </c>
      <c r="Q12" s="5">
        <f t="shared" si="71"/>
        <v>818.99999999999989</v>
      </c>
      <c r="R12" s="5">
        <f t="shared" si="71"/>
        <v>820.39999999999986</v>
      </c>
      <c r="S12" s="5">
        <f t="shared" si="71"/>
        <v>821.79999999999984</v>
      </c>
      <c r="T12" s="5">
        <f t="shared" si="71"/>
        <v>823.19999999999982</v>
      </c>
      <c r="U12" s="6">
        <f t="shared" si="71"/>
        <v>824.5999999999998</v>
      </c>
      <c r="V12" s="19">
        <v>826</v>
      </c>
      <c r="W12" s="5">
        <f>V12+1.4</f>
        <v>827.4</v>
      </c>
      <c r="X12" s="5">
        <f t="shared" ref="X12:AE12" si="72">W12+1.4</f>
        <v>828.8</v>
      </c>
      <c r="Y12" s="5">
        <f t="shared" si="72"/>
        <v>830.19999999999993</v>
      </c>
      <c r="Z12" s="5">
        <f t="shared" si="72"/>
        <v>831.59999999999991</v>
      </c>
      <c r="AA12" s="5">
        <f t="shared" si="72"/>
        <v>832.99999999999989</v>
      </c>
      <c r="AB12" s="5">
        <f t="shared" si="72"/>
        <v>834.39999999999986</v>
      </c>
      <c r="AC12" s="5">
        <f t="shared" si="72"/>
        <v>835.79999999999984</v>
      </c>
      <c r="AD12" s="5">
        <f t="shared" si="72"/>
        <v>837.19999999999982</v>
      </c>
      <c r="AE12" s="6">
        <f t="shared" si="72"/>
        <v>838.5999999999998</v>
      </c>
      <c r="AF12" s="19">
        <v>840</v>
      </c>
      <c r="AG12" s="5">
        <f>AF12+1.4</f>
        <v>841.4</v>
      </c>
      <c r="AH12" s="5">
        <f t="shared" ref="AH12:AO12" si="73">AG12+1.4</f>
        <v>842.8</v>
      </c>
      <c r="AI12" s="5">
        <f t="shared" si="73"/>
        <v>844.19999999999993</v>
      </c>
      <c r="AJ12" s="5">
        <f t="shared" si="73"/>
        <v>845.59999999999991</v>
      </c>
      <c r="AK12" s="5">
        <f t="shared" si="73"/>
        <v>846.99999999999989</v>
      </c>
      <c r="AL12" s="5">
        <f t="shared" si="73"/>
        <v>848.39999999999986</v>
      </c>
      <c r="AM12" s="5">
        <f t="shared" si="73"/>
        <v>849.79999999999984</v>
      </c>
      <c r="AN12" s="5">
        <f t="shared" si="73"/>
        <v>851.19999999999982</v>
      </c>
      <c r="AO12" s="6">
        <f t="shared" si="73"/>
        <v>852.5999999999998</v>
      </c>
      <c r="AP12" s="19">
        <v>854</v>
      </c>
      <c r="AQ12" s="5">
        <f>AP12+1.4</f>
        <v>855.4</v>
      </c>
      <c r="AR12" s="5">
        <f t="shared" ref="AR12:AY12" si="74">AQ12+1.4</f>
        <v>856.8</v>
      </c>
      <c r="AS12" s="5">
        <f t="shared" si="74"/>
        <v>858.19999999999993</v>
      </c>
      <c r="AT12" s="5">
        <f t="shared" si="74"/>
        <v>859.59999999999991</v>
      </c>
      <c r="AU12" s="5">
        <f t="shared" si="74"/>
        <v>860.99999999999989</v>
      </c>
      <c r="AV12" s="5">
        <f t="shared" si="74"/>
        <v>862.39999999999986</v>
      </c>
      <c r="AW12" s="5">
        <f t="shared" si="74"/>
        <v>863.79999999999984</v>
      </c>
      <c r="AX12" s="5">
        <f t="shared" si="74"/>
        <v>865.19999999999982</v>
      </c>
      <c r="AY12" s="6">
        <f t="shared" si="74"/>
        <v>866.5999999999998</v>
      </c>
      <c r="AZ12" s="19">
        <v>868</v>
      </c>
      <c r="BA12" s="5">
        <f>AZ12+1.4</f>
        <v>869.4</v>
      </c>
      <c r="BB12" s="5">
        <f t="shared" ref="BB12:BI12" si="75">BA12+1.4</f>
        <v>870.8</v>
      </c>
      <c r="BC12" s="5">
        <f t="shared" si="75"/>
        <v>872.19999999999993</v>
      </c>
      <c r="BD12" s="5">
        <f t="shared" si="75"/>
        <v>873.59999999999991</v>
      </c>
      <c r="BE12" s="5">
        <f t="shared" si="75"/>
        <v>874.99999999999989</v>
      </c>
      <c r="BF12" s="5">
        <f t="shared" si="75"/>
        <v>876.39999999999986</v>
      </c>
      <c r="BG12" s="5">
        <f t="shared" si="75"/>
        <v>877.79999999999984</v>
      </c>
      <c r="BH12" s="5">
        <f t="shared" si="75"/>
        <v>879.19999999999982</v>
      </c>
      <c r="BI12" s="6">
        <f t="shared" si="75"/>
        <v>880.5999999999998</v>
      </c>
      <c r="BJ12" s="19">
        <v>882</v>
      </c>
      <c r="BK12" s="5">
        <f>BJ12+1.4</f>
        <v>883.4</v>
      </c>
      <c r="BL12" s="5">
        <f t="shared" ref="BL12:BS12" si="76">BK12+1.4</f>
        <v>884.8</v>
      </c>
      <c r="BM12" s="5">
        <f t="shared" si="76"/>
        <v>886.19999999999993</v>
      </c>
      <c r="BN12" s="5">
        <f t="shared" si="76"/>
        <v>887.59999999999991</v>
      </c>
      <c r="BO12" s="5">
        <f t="shared" si="76"/>
        <v>888.99999999999989</v>
      </c>
      <c r="BP12" s="5">
        <f t="shared" si="76"/>
        <v>890.39999999999986</v>
      </c>
      <c r="BQ12" s="5">
        <f t="shared" si="76"/>
        <v>891.79999999999984</v>
      </c>
      <c r="BR12" s="5">
        <f t="shared" si="76"/>
        <v>893.19999999999982</v>
      </c>
      <c r="BS12" s="6">
        <f t="shared" si="76"/>
        <v>894.5999999999998</v>
      </c>
      <c r="BT12" s="19">
        <v>896</v>
      </c>
      <c r="BU12" s="5">
        <f>BT12+1.4</f>
        <v>897.4</v>
      </c>
      <c r="BV12" s="5">
        <f t="shared" ref="BV12:CC12" si="77">BU12+1.4</f>
        <v>898.8</v>
      </c>
      <c r="BW12" s="5">
        <f t="shared" si="77"/>
        <v>900.19999999999993</v>
      </c>
      <c r="BX12" s="5">
        <f t="shared" si="77"/>
        <v>901.59999999999991</v>
      </c>
      <c r="BY12" s="5">
        <f t="shared" si="77"/>
        <v>902.99999999999989</v>
      </c>
      <c r="BZ12" s="5">
        <f t="shared" si="77"/>
        <v>904.39999999999986</v>
      </c>
      <c r="CA12" s="5">
        <f t="shared" si="77"/>
        <v>905.79999999999984</v>
      </c>
      <c r="CB12" s="5">
        <f t="shared" si="77"/>
        <v>907.19999999999982</v>
      </c>
      <c r="CC12" s="6">
        <f t="shared" si="77"/>
        <v>908.5999999999998</v>
      </c>
      <c r="CD12" s="19">
        <v>910</v>
      </c>
      <c r="CE12" s="5">
        <f>CD12+1.4</f>
        <v>911.4</v>
      </c>
      <c r="CF12" s="5">
        <f t="shared" ref="CF12:CM12" si="78">CE12+1.4</f>
        <v>912.8</v>
      </c>
      <c r="CG12" s="5">
        <f t="shared" si="78"/>
        <v>914.19999999999993</v>
      </c>
      <c r="CH12" s="5">
        <f t="shared" si="78"/>
        <v>915.59999999999991</v>
      </c>
      <c r="CI12" s="5">
        <f t="shared" si="78"/>
        <v>916.99999999999989</v>
      </c>
      <c r="CJ12" s="5">
        <f t="shared" si="78"/>
        <v>918.39999999999986</v>
      </c>
      <c r="CK12" s="5">
        <f t="shared" si="78"/>
        <v>919.79999999999984</v>
      </c>
      <c r="CL12" s="5">
        <f t="shared" si="78"/>
        <v>921.19999999999982</v>
      </c>
      <c r="CM12" s="6">
        <f t="shared" si="78"/>
        <v>922.5999999999998</v>
      </c>
      <c r="CN12" s="19">
        <v>924</v>
      </c>
      <c r="CO12" s="5">
        <f>CN12+1.4</f>
        <v>925.4</v>
      </c>
      <c r="CP12" s="5">
        <f t="shared" ref="CP12:CW12" si="79">CO12+1.4</f>
        <v>926.8</v>
      </c>
      <c r="CQ12" s="5">
        <f t="shared" si="79"/>
        <v>928.19999999999993</v>
      </c>
      <c r="CR12" s="5">
        <f t="shared" si="79"/>
        <v>929.59999999999991</v>
      </c>
      <c r="CS12" s="5">
        <f t="shared" si="79"/>
        <v>930.99999999999989</v>
      </c>
      <c r="CT12" s="5">
        <f t="shared" si="79"/>
        <v>932.39999999999986</v>
      </c>
      <c r="CU12" s="5">
        <f t="shared" si="79"/>
        <v>933.79999999999984</v>
      </c>
      <c r="CV12" s="5">
        <f t="shared" si="79"/>
        <v>935.19999999999982</v>
      </c>
      <c r="CW12" s="6">
        <f t="shared" si="79"/>
        <v>936.5999999999998</v>
      </c>
    </row>
    <row r="13" spans="1:101" ht="20.100000000000001" customHeight="1">
      <c r="A13" s="4">
        <v>21</v>
      </c>
      <c r="B13" s="19">
        <v>938</v>
      </c>
      <c r="C13" s="5">
        <f>B13+1.63</f>
        <v>939.63</v>
      </c>
      <c r="D13" s="5">
        <f t="shared" ref="D13:K13" si="80">C13+1.63</f>
        <v>941.26</v>
      </c>
      <c r="E13" s="5">
        <f t="shared" si="80"/>
        <v>942.89</v>
      </c>
      <c r="F13" s="5">
        <f t="shared" si="80"/>
        <v>944.52</v>
      </c>
      <c r="G13" s="5">
        <f t="shared" si="80"/>
        <v>946.15</v>
      </c>
      <c r="H13" s="5">
        <f t="shared" si="80"/>
        <v>947.78</v>
      </c>
      <c r="I13" s="5">
        <f t="shared" si="80"/>
        <v>949.41</v>
      </c>
      <c r="J13" s="5">
        <f t="shared" si="80"/>
        <v>951.04</v>
      </c>
      <c r="K13" s="6">
        <f t="shared" si="80"/>
        <v>952.67</v>
      </c>
      <c r="L13" s="19">
        <v>954.3</v>
      </c>
      <c r="M13" s="5">
        <f>L13+1.63</f>
        <v>955.93</v>
      </c>
      <c r="N13" s="5">
        <f t="shared" ref="N13:U13" si="81">M13+1.63</f>
        <v>957.56</v>
      </c>
      <c r="O13" s="5">
        <f t="shared" si="81"/>
        <v>959.18999999999994</v>
      </c>
      <c r="P13" s="5">
        <f t="shared" si="81"/>
        <v>960.81999999999994</v>
      </c>
      <c r="Q13" s="5">
        <f t="shared" si="81"/>
        <v>962.44999999999993</v>
      </c>
      <c r="R13" s="5">
        <f t="shared" si="81"/>
        <v>964.07999999999993</v>
      </c>
      <c r="S13" s="5">
        <f t="shared" si="81"/>
        <v>965.70999999999992</v>
      </c>
      <c r="T13" s="5">
        <f t="shared" si="81"/>
        <v>967.33999999999992</v>
      </c>
      <c r="U13" s="6">
        <f t="shared" si="81"/>
        <v>968.96999999999991</v>
      </c>
      <c r="V13" s="19">
        <v>970.6</v>
      </c>
      <c r="W13" s="5">
        <f>V13+1.63</f>
        <v>972.23</v>
      </c>
      <c r="X13" s="5">
        <f t="shared" ref="X13:AE13" si="82">W13+1.63</f>
        <v>973.86</v>
      </c>
      <c r="Y13" s="5">
        <f t="shared" si="82"/>
        <v>975.49</v>
      </c>
      <c r="Z13" s="5">
        <f t="shared" si="82"/>
        <v>977.12</v>
      </c>
      <c r="AA13" s="5">
        <f t="shared" si="82"/>
        <v>978.75</v>
      </c>
      <c r="AB13" s="5">
        <f t="shared" si="82"/>
        <v>980.38</v>
      </c>
      <c r="AC13" s="5">
        <f t="shared" si="82"/>
        <v>982.01</v>
      </c>
      <c r="AD13" s="5">
        <f t="shared" si="82"/>
        <v>983.64</v>
      </c>
      <c r="AE13" s="6">
        <f t="shared" si="82"/>
        <v>985.27</v>
      </c>
      <c r="AF13" s="19">
        <v>986.9</v>
      </c>
      <c r="AG13" s="5">
        <f>AF13+1.63</f>
        <v>988.53</v>
      </c>
      <c r="AH13" s="5">
        <f t="shared" ref="AH13:AO13" si="83">AG13+1.63</f>
        <v>990.16</v>
      </c>
      <c r="AI13" s="5">
        <f t="shared" si="83"/>
        <v>991.79</v>
      </c>
      <c r="AJ13" s="5">
        <f t="shared" si="83"/>
        <v>993.42</v>
      </c>
      <c r="AK13" s="5">
        <f t="shared" si="83"/>
        <v>995.05</v>
      </c>
      <c r="AL13" s="5">
        <f t="shared" si="83"/>
        <v>996.68</v>
      </c>
      <c r="AM13" s="5">
        <f t="shared" si="83"/>
        <v>998.31</v>
      </c>
      <c r="AN13" s="5">
        <f t="shared" si="83"/>
        <v>999.93999999999994</v>
      </c>
      <c r="AO13" s="6">
        <f t="shared" si="83"/>
        <v>1001.5699999999999</v>
      </c>
      <c r="AP13" s="19">
        <v>1003.2</v>
      </c>
      <c r="AQ13" s="5">
        <f>AP13+1.63</f>
        <v>1004.83</v>
      </c>
      <c r="AR13" s="5">
        <f t="shared" ref="AR13:AY13" si="84">AQ13+1.63</f>
        <v>1006.46</v>
      </c>
      <c r="AS13" s="5">
        <f t="shared" si="84"/>
        <v>1008.09</v>
      </c>
      <c r="AT13" s="5">
        <f t="shared" si="84"/>
        <v>1009.72</v>
      </c>
      <c r="AU13" s="5">
        <f t="shared" si="84"/>
        <v>1011.35</v>
      </c>
      <c r="AV13" s="5">
        <f t="shared" si="84"/>
        <v>1012.98</v>
      </c>
      <c r="AW13" s="5">
        <f t="shared" si="84"/>
        <v>1014.61</v>
      </c>
      <c r="AX13" s="5">
        <f t="shared" si="84"/>
        <v>1016.24</v>
      </c>
      <c r="AY13" s="6">
        <f t="shared" si="84"/>
        <v>1017.87</v>
      </c>
      <c r="AZ13" s="19">
        <v>1019.5</v>
      </c>
      <c r="BA13" s="5">
        <f>AZ13+1.63</f>
        <v>1021.13</v>
      </c>
      <c r="BB13" s="5">
        <f t="shared" ref="BB13:BI13" si="85">BA13+1.63</f>
        <v>1022.76</v>
      </c>
      <c r="BC13" s="5">
        <f t="shared" si="85"/>
        <v>1024.3900000000001</v>
      </c>
      <c r="BD13" s="5">
        <f t="shared" si="85"/>
        <v>1026.0200000000002</v>
      </c>
      <c r="BE13" s="5">
        <f t="shared" si="85"/>
        <v>1027.6500000000003</v>
      </c>
      <c r="BF13" s="5">
        <f t="shared" si="85"/>
        <v>1029.2800000000004</v>
      </c>
      <c r="BG13" s="5">
        <f t="shared" si="85"/>
        <v>1030.9100000000005</v>
      </c>
      <c r="BH13" s="5">
        <f t="shared" si="85"/>
        <v>1032.5400000000006</v>
      </c>
      <c r="BI13" s="6">
        <f t="shared" si="85"/>
        <v>1034.1700000000008</v>
      </c>
      <c r="BJ13" s="19">
        <v>1035.8</v>
      </c>
      <c r="BK13" s="5">
        <f>BJ13+1.63</f>
        <v>1037.43</v>
      </c>
      <c r="BL13" s="5">
        <f t="shared" ref="BL13:BS13" si="86">BK13+1.63</f>
        <v>1039.0600000000002</v>
      </c>
      <c r="BM13" s="5">
        <f t="shared" si="86"/>
        <v>1040.6900000000003</v>
      </c>
      <c r="BN13" s="5">
        <f t="shared" si="86"/>
        <v>1042.3200000000004</v>
      </c>
      <c r="BO13" s="5">
        <f t="shared" si="86"/>
        <v>1043.9500000000005</v>
      </c>
      <c r="BP13" s="5">
        <f t="shared" si="86"/>
        <v>1045.5800000000006</v>
      </c>
      <c r="BQ13" s="5">
        <f t="shared" si="86"/>
        <v>1047.2100000000007</v>
      </c>
      <c r="BR13" s="5">
        <f t="shared" si="86"/>
        <v>1048.8400000000008</v>
      </c>
      <c r="BS13" s="6">
        <f t="shared" si="86"/>
        <v>1050.4700000000009</v>
      </c>
      <c r="BT13" s="19">
        <v>1052.0999999999999</v>
      </c>
      <c r="BU13" s="5">
        <f>BT13+1.63</f>
        <v>1053.73</v>
      </c>
      <c r="BV13" s="5">
        <f t="shared" ref="BV13:CC13" si="87">BU13+1.63</f>
        <v>1055.3600000000001</v>
      </c>
      <c r="BW13" s="5">
        <f t="shared" si="87"/>
        <v>1056.9900000000002</v>
      </c>
      <c r="BX13" s="5">
        <f t="shared" si="87"/>
        <v>1058.6200000000003</v>
      </c>
      <c r="BY13" s="5">
        <f t="shared" si="87"/>
        <v>1060.2500000000005</v>
      </c>
      <c r="BZ13" s="5">
        <f t="shared" si="87"/>
        <v>1061.8800000000006</v>
      </c>
      <c r="CA13" s="5">
        <f t="shared" si="87"/>
        <v>1063.5100000000007</v>
      </c>
      <c r="CB13" s="5">
        <f t="shared" si="87"/>
        <v>1065.1400000000008</v>
      </c>
      <c r="CC13" s="6">
        <f t="shared" si="87"/>
        <v>1066.7700000000009</v>
      </c>
      <c r="CD13" s="19">
        <v>1068.4000000000001</v>
      </c>
      <c r="CE13" s="5">
        <f>CD13+1.63</f>
        <v>1070.0300000000002</v>
      </c>
      <c r="CF13" s="5">
        <f t="shared" ref="CF13:CM13" si="88">CE13+1.63</f>
        <v>1071.6600000000003</v>
      </c>
      <c r="CG13" s="5">
        <f t="shared" si="88"/>
        <v>1073.2900000000004</v>
      </c>
      <c r="CH13" s="5">
        <f t="shared" si="88"/>
        <v>1074.9200000000005</v>
      </c>
      <c r="CI13" s="5">
        <f t="shared" si="88"/>
        <v>1076.5500000000006</v>
      </c>
      <c r="CJ13" s="5">
        <f t="shared" si="88"/>
        <v>1078.1800000000007</v>
      </c>
      <c r="CK13" s="5">
        <f t="shared" si="88"/>
        <v>1079.8100000000009</v>
      </c>
      <c r="CL13" s="5">
        <f t="shared" si="88"/>
        <v>1081.440000000001</v>
      </c>
      <c r="CM13" s="6">
        <f t="shared" si="88"/>
        <v>1083.0700000000011</v>
      </c>
      <c r="CN13" s="19">
        <v>1084.7</v>
      </c>
      <c r="CO13" s="5">
        <f>CN13+1.63</f>
        <v>1086.3300000000002</v>
      </c>
      <c r="CP13" s="5">
        <f t="shared" ref="CP13:CW13" si="89">CO13+1.63</f>
        <v>1087.9600000000003</v>
      </c>
      <c r="CQ13" s="5">
        <f t="shared" si="89"/>
        <v>1089.5900000000004</v>
      </c>
      <c r="CR13" s="5">
        <f t="shared" si="89"/>
        <v>1091.2200000000005</v>
      </c>
      <c r="CS13" s="5">
        <f t="shared" si="89"/>
        <v>1092.8500000000006</v>
      </c>
      <c r="CT13" s="5">
        <f t="shared" si="89"/>
        <v>1094.4800000000007</v>
      </c>
      <c r="CU13" s="5">
        <f t="shared" si="89"/>
        <v>1096.1100000000008</v>
      </c>
      <c r="CV13" s="5">
        <f t="shared" si="89"/>
        <v>1097.7400000000009</v>
      </c>
      <c r="CW13" s="6">
        <f t="shared" si="89"/>
        <v>1099.370000000001</v>
      </c>
    </row>
    <row r="14" spans="1:101" ht="20.100000000000001" customHeight="1">
      <c r="A14" s="4">
        <v>22</v>
      </c>
      <c r="B14" s="19">
        <v>1101</v>
      </c>
      <c r="C14" s="5">
        <f>B14+1.78</f>
        <v>1102.78</v>
      </c>
      <c r="D14" s="5">
        <f t="shared" ref="D14:K14" si="90">C14+1.78</f>
        <v>1104.56</v>
      </c>
      <c r="E14" s="5">
        <f t="shared" si="90"/>
        <v>1106.3399999999999</v>
      </c>
      <c r="F14" s="5">
        <f t="shared" si="90"/>
        <v>1108.1199999999999</v>
      </c>
      <c r="G14" s="5">
        <f t="shared" si="90"/>
        <v>1109.8999999999999</v>
      </c>
      <c r="H14" s="5">
        <f t="shared" si="90"/>
        <v>1111.6799999999998</v>
      </c>
      <c r="I14" s="5">
        <f t="shared" si="90"/>
        <v>1113.4599999999998</v>
      </c>
      <c r="J14" s="5">
        <f t="shared" si="90"/>
        <v>1115.2399999999998</v>
      </c>
      <c r="K14" s="6">
        <f t="shared" si="90"/>
        <v>1117.0199999999998</v>
      </c>
      <c r="L14" s="19">
        <v>1118.8</v>
      </c>
      <c r="M14" s="5">
        <f>L14+1.78</f>
        <v>1120.58</v>
      </c>
      <c r="N14" s="5">
        <f t="shared" ref="N14:U14" si="91">M14+1.78</f>
        <v>1122.3599999999999</v>
      </c>
      <c r="O14" s="5">
        <f t="shared" si="91"/>
        <v>1124.1399999999999</v>
      </c>
      <c r="P14" s="5">
        <f t="shared" si="91"/>
        <v>1125.9199999999998</v>
      </c>
      <c r="Q14" s="5">
        <f t="shared" si="91"/>
        <v>1127.6999999999998</v>
      </c>
      <c r="R14" s="5">
        <f t="shared" si="91"/>
        <v>1129.4799999999998</v>
      </c>
      <c r="S14" s="5">
        <f t="shared" si="91"/>
        <v>1131.2599999999998</v>
      </c>
      <c r="T14" s="5">
        <f t="shared" si="91"/>
        <v>1133.0399999999997</v>
      </c>
      <c r="U14" s="6">
        <f t="shared" si="91"/>
        <v>1134.8199999999997</v>
      </c>
      <c r="V14" s="19">
        <v>1136.5999999999999</v>
      </c>
      <c r="W14" s="5">
        <f>V14+1.78</f>
        <v>1138.3799999999999</v>
      </c>
      <c r="X14" s="5">
        <f t="shared" ref="X14:AE14" si="92">W14+1.78</f>
        <v>1140.1599999999999</v>
      </c>
      <c r="Y14" s="5">
        <f t="shared" si="92"/>
        <v>1141.9399999999998</v>
      </c>
      <c r="Z14" s="5">
        <f t="shared" si="92"/>
        <v>1143.7199999999998</v>
      </c>
      <c r="AA14" s="5">
        <f t="shared" si="92"/>
        <v>1145.4999999999998</v>
      </c>
      <c r="AB14" s="5">
        <f t="shared" si="92"/>
        <v>1147.2799999999997</v>
      </c>
      <c r="AC14" s="5">
        <f t="shared" si="92"/>
        <v>1149.0599999999997</v>
      </c>
      <c r="AD14" s="5">
        <f t="shared" si="92"/>
        <v>1150.8399999999997</v>
      </c>
      <c r="AE14" s="6">
        <f t="shared" si="92"/>
        <v>1152.6199999999997</v>
      </c>
      <c r="AF14" s="19">
        <v>1154.4000000000001</v>
      </c>
      <c r="AG14" s="5">
        <f>AF14+1.78</f>
        <v>1156.18</v>
      </c>
      <c r="AH14" s="5">
        <f t="shared" ref="AH14:AO14" si="93">AG14+1.78</f>
        <v>1157.96</v>
      </c>
      <c r="AI14" s="5">
        <f t="shared" si="93"/>
        <v>1159.74</v>
      </c>
      <c r="AJ14" s="5">
        <f t="shared" si="93"/>
        <v>1161.52</v>
      </c>
      <c r="AK14" s="5">
        <f t="shared" si="93"/>
        <v>1163.3</v>
      </c>
      <c r="AL14" s="5">
        <f t="shared" si="93"/>
        <v>1165.08</v>
      </c>
      <c r="AM14" s="5">
        <f t="shared" si="93"/>
        <v>1166.8599999999999</v>
      </c>
      <c r="AN14" s="5">
        <f t="shared" si="93"/>
        <v>1168.6399999999999</v>
      </c>
      <c r="AO14" s="6">
        <f t="shared" si="93"/>
        <v>1170.4199999999998</v>
      </c>
      <c r="AP14" s="19">
        <v>1172.2</v>
      </c>
      <c r="AQ14" s="5">
        <f>AP14+1.78</f>
        <v>1173.98</v>
      </c>
      <c r="AR14" s="5">
        <f t="shared" ref="AR14:AY14" si="94">AQ14+1.78</f>
        <v>1175.76</v>
      </c>
      <c r="AS14" s="5">
        <f t="shared" si="94"/>
        <v>1177.54</v>
      </c>
      <c r="AT14" s="5">
        <f t="shared" si="94"/>
        <v>1179.32</v>
      </c>
      <c r="AU14" s="5">
        <f t="shared" si="94"/>
        <v>1181.0999999999999</v>
      </c>
      <c r="AV14" s="5">
        <f t="shared" si="94"/>
        <v>1182.8799999999999</v>
      </c>
      <c r="AW14" s="5">
        <f t="shared" si="94"/>
        <v>1184.6599999999999</v>
      </c>
      <c r="AX14" s="5">
        <f t="shared" si="94"/>
        <v>1186.4399999999998</v>
      </c>
      <c r="AY14" s="6">
        <f t="shared" si="94"/>
        <v>1188.2199999999998</v>
      </c>
      <c r="AZ14" s="19">
        <v>1190</v>
      </c>
      <c r="BA14" s="5">
        <f>AZ14+1.78</f>
        <v>1191.78</v>
      </c>
      <c r="BB14" s="5">
        <f t="shared" ref="BB14:BI14" si="95">BA14+1.78</f>
        <v>1193.56</v>
      </c>
      <c r="BC14" s="5">
        <f t="shared" si="95"/>
        <v>1195.3399999999999</v>
      </c>
      <c r="BD14" s="5">
        <f t="shared" si="95"/>
        <v>1197.1199999999999</v>
      </c>
      <c r="BE14" s="5">
        <f t="shared" si="95"/>
        <v>1198.8999999999999</v>
      </c>
      <c r="BF14" s="5">
        <f t="shared" si="95"/>
        <v>1200.6799999999998</v>
      </c>
      <c r="BG14" s="5">
        <f t="shared" si="95"/>
        <v>1202.4599999999998</v>
      </c>
      <c r="BH14" s="5">
        <f t="shared" si="95"/>
        <v>1204.2399999999998</v>
      </c>
      <c r="BI14" s="6">
        <f t="shared" si="95"/>
        <v>1206.0199999999998</v>
      </c>
      <c r="BJ14" s="19">
        <v>1207.8</v>
      </c>
      <c r="BK14" s="5">
        <f>BJ14+1.78</f>
        <v>1209.58</v>
      </c>
      <c r="BL14" s="5">
        <f t="shared" ref="BL14:BS14" si="96">BK14+1.78</f>
        <v>1211.3599999999999</v>
      </c>
      <c r="BM14" s="5">
        <f t="shared" si="96"/>
        <v>1213.1399999999999</v>
      </c>
      <c r="BN14" s="5">
        <f t="shared" si="96"/>
        <v>1214.9199999999998</v>
      </c>
      <c r="BO14" s="5">
        <f t="shared" si="96"/>
        <v>1216.6999999999998</v>
      </c>
      <c r="BP14" s="5">
        <f t="shared" si="96"/>
        <v>1218.4799999999998</v>
      </c>
      <c r="BQ14" s="5">
        <f t="shared" si="96"/>
        <v>1220.2599999999998</v>
      </c>
      <c r="BR14" s="5">
        <f t="shared" si="96"/>
        <v>1222.0399999999997</v>
      </c>
      <c r="BS14" s="6">
        <f t="shared" si="96"/>
        <v>1223.8199999999997</v>
      </c>
      <c r="BT14" s="19">
        <v>1225.5999999999999</v>
      </c>
      <c r="BU14" s="5">
        <f>BT14+1.78</f>
        <v>1227.3799999999999</v>
      </c>
      <c r="BV14" s="5">
        <f t="shared" ref="BV14:CC14" si="97">BU14+1.78</f>
        <v>1229.1599999999999</v>
      </c>
      <c r="BW14" s="5">
        <f t="shared" si="97"/>
        <v>1230.9399999999998</v>
      </c>
      <c r="BX14" s="5">
        <f t="shared" si="97"/>
        <v>1232.7199999999998</v>
      </c>
      <c r="BY14" s="5">
        <f t="shared" si="97"/>
        <v>1234.4999999999998</v>
      </c>
      <c r="BZ14" s="5">
        <f t="shared" si="97"/>
        <v>1236.2799999999997</v>
      </c>
      <c r="CA14" s="5">
        <f t="shared" si="97"/>
        <v>1238.0599999999997</v>
      </c>
      <c r="CB14" s="5">
        <f t="shared" si="97"/>
        <v>1239.8399999999997</v>
      </c>
      <c r="CC14" s="6">
        <f t="shared" si="97"/>
        <v>1241.6199999999997</v>
      </c>
      <c r="CD14" s="19">
        <v>1243.4000000000001</v>
      </c>
      <c r="CE14" s="5">
        <f>CD14+1.78</f>
        <v>1245.18</v>
      </c>
      <c r="CF14" s="5">
        <f t="shared" ref="CF14:CM14" si="98">CE14+1.78</f>
        <v>1246.96</v>
      </c>
      <c r="CG14" s="5">
        <f t="shared" si="98"/>
        <v>1248.74</v>
      </c>
      <c r="CH14" s="5">
        <f t="shared" si="98"/>
        <v>1250.52</v>
      </c>
      <c r="CI14" s="5">
        <f t="shared" si="98"/>
        <v>1252.3</v>
      </c>
      <c r="CJ14" s="5">
        <f t="shared" si="98"/>
        <v>1254.08</v>
      </c>
      <c r="CK14" s="5">
        <f t="shared" si="98"/>
        <v>1255.8599999999999</v>
      </c>
      <c r="CL14" s="5">
        <f t="shared" si="98"/>
        <v>1257.6399999999999</v>
      </c>
      <c r="CM14" s="6">
        <f t="shared" si="98"/>
        <v>1259.4199999999998</v>
      </c>
      <c r="CN14" s="19">
        <v>1261.2</v>
      </c>
      <c r="CO14" s="5">
        <v>1263.28</v>
      </c>
      <c r="CP14" s="5">
        <v>1265.3599999999999</v>
      </c>
      <c r="CQ14" s="5">
        <v>1267.4399999999998</v>
      </c>
      <c r="CR14" s="5">
        <v>1269.5199999999998</v>
      </c>
      <c r="CS14" s="5">
        <v>1271.5999999999997</v>
      </c>
      <c r="CT14" s="5">
        <v>1273.6799999999996</v>
      </c>
      <c r="CU14" s="5">
        <v>1275.7599999999995</v>
      </c>
      <c r="CV14" s="5">
        <v>1277.8399999999995</v>
      </c>
      <c r="CW14" s="6">
        <v>1279.9199999999994</v>
      </c>
    </row>
    <row r="15" spans="1:101" ht="20.100000000000001" customHeight="1">
      <c r="A15" s="4">
        <v>23</v>
      </c>
      <c r="B15" s="19">
        <v>1282</v>
      </c>
      <c r="C15" s="5">
        <f>B15+2.06</f>
        <v>1284.06</v>
      </c>
      <c r="D15" s="5">
        <f t="shared" ref="D15:K15" si="99">C15+2.06</f>
        <v>1286.1199999999999</v>
      </c>
      <c r="E15" s="5">
        <f t="shared" si="99"/>
        <v>1288.1799999999998</v>
      </c>
      <c r="F15" s="5">
        <f t="shared" si="99"/>
        <v>1290.2399999999998</v>
      </c>
      <c r="G15" s="5">
        <f t="shared" si="99"/>
        <v>1292.2999999999997</v>
      </c>
      <c r="H15" s="5">
        <f t="shared" si="99"/>
        <v>1294.3599999999997</v>
      </c>
      <c r="I15" s="5">
        <f t="shared" si="99"/>
        <v>1296.4199999999996</v>
      </c>
      <c r="J15" s="5">
        <f t="shared" si="99"/>
        <v>1298.4799999999996</v>
      </c>
      <c r="K15" s="6">
        <f t="shared" si="99"/>
        <v>1300.5399999999995</v>
      </c>
      <c r="L15" s="19">
        <v>1302.5999999999999</v>
      </c>
      <c r="M15" s="5">
        <v>1304.71</v>
      </c>
      <c r="N15" s="5">
        <v>1306.8200000000002</v>
      </c>
      <c r="O15" s="5">
        <v>1308.9300000000003</v>
      </c>
      <c r="P15" s="5">
        <v>1311.0400000000004</v>
      </c>
      <c r="Q15" s="5">
        <v>1313.1500000000005</v>
      </c>
      <c r="R15" s="5">
        <v>1315.2600000000007</v>
      </c>
      <c r="S15" s="5">
        <v>1317.3700000000008</v>
      </c>
      <c r="T15" s="5">
        <v>1319.4800000000009</v>
      </c>
      <c r="U15" s="6">
        <v>1321.5900000000011</v>
      </c>
      <c r="V15" s="19">
        <v>1323.7</v>
      </c>
      <c r="W15" s="5">
        <v>1325.71</v>
      </c>
      <c r="X15" s="5">
        <v>1327.72</v>
      </c>
      <c r="Y15" s="5">
        <v>1329.73</v>
      </c>
      <c r="Z15" s="5">
        <v>1331.74</v>
      </c>
      <c r="AA15" s="5">
        <v>1333.75</v>
      </c>
      <c r="AB15" s="5">
        <v>1335.76</v>
      </c>
      <c r="AC15" s="5">
        <v>1337.77</v>
      </c>
      <c r="AD15" s="5">
        <v>1339.78</v>
      </c>
      <c r="AE15" s="6">
        <v>1341.79</v>
      </c>
      <c r="AF15" s="19">
        <v>1343.8</v>
      </c>
      <c r="AG15" s="5">
        <f>AF15+2.06</f>
        <v>1345.86</v>
      </c>
      <c r="AH15" s="5">
        <f t="shared" ref="AH15:AO15" si="100">AG15+2.06</f>
        <v>1347.9199999999998</v>
      </c>
      <c r="AI15" s="5">
        <f t="shared" si="100"/>
        <v>1349.9799999999998</v>
      </c>
      <c r="AJ15" s="5">
        <f t="shared" si="100"/>
        <v>1352.0399999999997</v>
      </c>
      <c r="AK15" s="5">
        <f t="shared" si="100"/>
        <v>1354.0999999999997</v>
      </c>
      <c r="AL15" s="5">
        <f t="shared" si="100"/>
        <v>1356.1599999999996</v>
      </c>
      <c r="AM15" s="5">
        <f t="shared" si="100"/>
        <v>1358.2199999999996</v>
      </c>
      <c r="AN15" s="5">
        <f t="shared" si="100"/>
        <v>1360.2799999999995</v>
      </c>
      <c r="AO15" s="6">
        <f t="shared" si="100"/>
        <v>1362.3399999999995</v>
      </c>
      <c r="AP15" s="19">
        <v>1364.4</v>
      </c>
      <c r="AQ15" s="5">
        <f>AP15+2.06</f>
        <v>1366.46</v>
      </c>
      <c r="AR15" s="5">
        <f t="shared" ref="AR15:AY15" si="101">AQ15+2.06</f>
        <v>1368.52</v>
      </c>
      <c r="AS15" s="5">
        <f t="shared" si="101"/>
        <v>1370.58</v>
      </c>
      <c r="AT15" s="5">
        <f t="shared" si="101"/>
        <v>1372.6399999999999</v>
      </c>
      <c r="AU15" s="5">
        <f t="shared" si="101"/>
        <v>1374.6999999999998</v>
      </c>
      <c r="AV15" s="5">
        <f t="shared" si="101"/>
        <v>1376.7599999999998</v>
      </c>
      <c r="AW15" s="5">
        <f t="shared" si="101"/>
        <v>1378.8199999999997</v>
      </c>
      <c r="AX15" s="5">
        <f t="shared" si="101"/>
        <v>1380.8799999999997</v>
      </c>
      <c r="AY15" s="6">
        <f t="shared" si="101"/>
        <v>1382.9399999999996</v>
      </c>
      <c r="AZ15" s="19">
        <v>1385</v>
      </c>
      <c r="BA15" s="5">
        <f>AZ15+2.06</f>
        <v>1387.06</v>
      </c>
      <c r="BB15" s="5">
        <f t="shared" ref="BB15:BI15" si="102">BA15+2.06</f>
        <v>1389.12</v>
      </c>
      <c r="BC15" s="5">
        <f t="shared" si="102"/>
        <v>1391.1799999999998</v>
      </c>
      <c r="BD15" s="5">
        <f t="shared" si="102"/>
        <v>1393.2399999999998</v>
      </c>
      <c r="BE15" s="5">
        <f t="shared" si="102"/>
        <v>1395.2999999999997</v>
      </c>
      <c r="BF15" s="5">
        <f t="shared" si="102"/>
        <v>1397.3599999999997</v>
      </c>
      <c r="BG15" s="5">
        <f t="shared" si="102"/>
        <v>1399.4199999999996</v>
      </c>
      <c r="BH15" s="5">
        <f t="shared" si="102"/>
        <v>1401.4799999999996</v>
      </c>
      <c r="BI15" s="6">
        <f t="shared" si="102"/>
        <v>1403.5399999999995</v>
      </c>
      <c r="BJ15" s="19">
        <v>1405.6</v>
      </c>
      <c r="BK15" s="5">
        <f>BJ15+2.06</f>
        <v>1407.6599999999999</v>
      </c>
      <c r="BL15" s="5">
        <f t="shared" ref="BL15:BS15" si="103">BK15+2.06</f>
        <v>1409.7199999999998</v>
      </c>
      <c r="BM15" s="5">
        <f t="shared" si="103"/>
        <v>1411.7799999999997</v>
      </c>
      <c r="BN15" s="5">
        <f t="shared" si="103"/>
        <v>1413.8399999999997</v>
      </c>
      <c r="BO15" s="5">
        <f t="shared" si="103"/>
        <v>1415.8999999999996</v>
      </c>
      <c r="BP15" s="5">
        <f t="shared" si="103"/>
        <v>1417.9599999999996</v>
      </c>
      <c r="BQ15" s="5">
        <f t="shared" si="103"/>
        <v>1420.0199999999995</v>
      </c>
      <c r="BR15" s="5">
        <f t="shared" si="103"/>
        <v>1422.0799999999995</v>
      </c>
      <c r="BS15" s="6">
        <f t="shared" si="103"/>
        <v>1424.1399999999994</v>
      </c>
      <c r="BT15" s="19">
        <v>1426.2</v>
      </c>
      <c r="BU15" s="5">
        <f>BT15+2.06</f>
        <v>1428.26</v>
      </c>
      <c r="BV15" s="5">
        <f t="shared" ref="BV15:CC15" si="104">BU15+2.06</f>
        <v>1430.32</v>
      </c>
      <c r="BW15" s="5">
        <f t="shared" si="104"/>
        <v>1432.3799999999999</v>
      </c>
      <c r="BX15" s="5">
        <f t="shared" si="104"/>
        <v>1434.4399999999998</v>
      </c>
      <c r="BY15" s="5">
        <f t="shared" si="104"/>
        <v>1436.4999999999998</v>
      </c>
      <c r="BZ15" s="5">
        <f t="shared" si="104"/>
        <v>1438.5599999999997</v>
      </c>
      <c r="CA15" s="5">
        <f t="shared" si="104"/>
        <v>1440.6199999999997</v>
      </c>
      <c r="CB15" s="5">
        <f t="shared" si="104"/>
        <v>1442.6799999999996</v>
      </c>
      <c r="CC15" s="6">
        <f t="shared" si="104"/>
        <v>1444.7399999999996</v>
      </c>
      <c r="CD15" s="19">
        <v>1446.8</v>
      </c>
      <c r="CE15" s="5">
        <f>CD15+2.06</f>
        <v>1448.86</v>
      </c>
      <c r="CF15" s="5">
        <f t="shared" ref="CF15:CM15" si="105">CE15+2.06</f>
        <v>1450.9199999999998</v>
      </c>
      <c r="CG15" s="5">
        <f t="shared" si="105"/>
        <v>1452.9799999999998</v>
      </c>
      <c r="CH15" s="5">
        <f t="shared" si="105"/>
        <v>1455.0399999999997</v>
      </c>
      <c r="CI15" s="5">
        <f t="shared" si="105"/>
        <v>1457.0999999999997</v>
      </c>
      <c r="CJ15" s="5">
        <f t="shared" si="105"/>
        <v>1459.1599999999996</v>
      </c>
      <c r="CK15" s="5">
        <f t="shared" si="105"/>
        <v>1461.2199999999996</v>
      </c>
      <c r="CL15" s="5">
        <f t="shared" si="105"/>
        <v>1463.2799999999995</v>
      </c>
      <c r="CM15" s="6">
        <f t="shared" si="105"/>
        <v>1465.3399999999995</v>
      </c>
      <c r="CN15" s="19">
        <v>1467.4</v>
      </c>
      <c r="CO15" s="5">
        <f>CN15+2.06</f>
        <v>1469.46</v>
      </c>
      <c r="CP15" s="5">
        <f t="shared" ref="CP15:CW15" si="106">CO15+2.06</f>
        <v>1471.52</v>
      </c>
      <c r="CQ15" s="5">
        <f t="shared" si="106"/>
        <v>1473.58</v>
      </c>
      <c r="CR15" s="5">
        <f t="shared" si="106"/>
        <v>1475.6399999999999</v>
      </c>
      <c r="CS15" s="5">
        <f t="shared" si="106"/>
        <v>1477.6999999999998</v>
      </c>
      <c r="CT15" s="5">
        <f t="shared" si="106"/>
        <v>1479.7599999999998</v>
      </c>
      <c r="CU15" s="5">
        <f t="shared" si="106"/>
        <v>1481.8199999999997</v>
      </c>
      <c r="CV15" s="5">
        <f t="shared" si="106"/>
        <v>1483.8799999999997</v>
      </c>
      <c r="CW15" s="6">
        <f t="shared" si="106"/>
        <v>1485.9399999999996</v>
      </c>
    </row>
    <row r="16" spans="1:101" ht="20.100000000000001" customHeight="1">
      <c r="A16" s="4">
        <v>24</v>
      </c>
      <c r="B16" s="19">
        <v>1488</v>
      </c>
      <c r="C16" s="5">
        <f>B16+2.32</f>
        <v>1490.32</v>
      </c>
      <c r="D16" s="5">
        <f t="shared" ref="D16:K18" si="107">C16+2.32</f>
        <v>1492.6399999999999</v>
      </c>
      <c r="E16" s="5">
        <f t="shared" si="107"/>
        <v>1494.9599999999998</v>
      </c>
      <c r="F16" s="5">
        <f t="shared" si="107"/>
        <v>1497.2799999999997</v>
      </c>
      <c r="G16" s="5">
        <f t="shared" si="107"/>
        <v>1499.5999999999997</v>
      </c>
      <c r="H16" s="5">
        <f t="shared" si="107"/>
        <v>1501.9199999999996</v>
      </c>
      <c r="I16" s="5">
        <f t="shared" si="107"/>
        <v>1504.2399999999996</v>
      </c>
      <c r="J16" s="5">
        <f t="shared" si="107"/>
        <v>1506.5599999999995</v>
      </c>
      <c r="K16" s="6">
        <f t="shared" si="107"/>
        <v>1508.8799999999994</v>
      </c>
      <c r="L16" s="19">
        <v>1511.2</v>
      </c>
      <c r="M16" s="5">
        <f>L16+2.32</f>
        <v>1513.52</v>
      </c>
      <c r="N16" s="5">
        <f t="shared" ref="N16:U18" si="108">M16+2.32</f>
        <v>1515.84</v>
      </c>
      <c r="O16" s="5">
        <f t="shared" si="108"/>
        <v>1518.1599999999999</v>
      </c>
      <c r="P16" s="5">
        <f t="shared" si="108"/>
        <v>1520.4799999999998</v>
      </c>
      <c r="Q16" s="5">
        <f t="shared" si="108"/>
        <v>1522.7999999999997</v>
      </c>
      <c r="R16" s="5">
        <f t="shared" si="108"/>
        <v>1525.1199999999997</v>
      </c>
      <c r="S16" s="5">
        <f t="shared" si="108"/>
        <v>1527.4399999999996</v>
      </c>
      <c r="T16" s="5">
        <f t="shared" si="108"/>
        <v>1529.7599999999995</v>
      </c>
      <c r="U16" s="6">
        <f t="shared" si="108"/>
        <v>1532.0799999999995</v>
      </c>
      <c r="V16" s="19">
        <v>1534.4</v>
      </c>
      <c r="W16" s="5">
        <f>V16+2.32</f>
        <v>1536.72</v>
      </c>
      <c r="X16" s="5">
        <f t="shared" ref="X16:AE18" si="109">W16+2.32</f>
        <v>1539.04</v>
      </c>
      <c r="Y16" s="5">
        <f t="shared" si="109"/>
        <v>1541.36</v>
      </c>
      <c r="Z16" s="5">
        <f t="shared" si="109"/>
        <v>1543.6799999999998</v>
      </c>
      <c r="AA16" s="5">
        <f t="shared" si="109"/>
        <v>1545.9999999999998</v>
      </c>
      <c r="AB16" s="5">
        <f t="shared" si="109"/>
        <v>1548.3199999999997</v>
      </c>
      <c r="AC16" s="5">
        <f t="shared" si="109"/>
        <v>1550.6399999999996</v>
      </c>
      <c r="AD16" s="5">
        <f t="shared" si="109"/>
        <v>1552.9599999999996</v>
      </c>
      <c r="AE16" s="6">
        <f t="shared" si="109"/>
        <v>1555.2799999999995</v>
      </c>
      <c r="AF16" s="19">
        <v>1557.6</v>
      </c>
      <c r="AG16" s="5">
        <f>AF16+2.32</f>
        <v>1559.9199999999998</v>
      </c>
      <c r="AH16" s="5">
        <f t="shared" ref="AH16:AO18" si="110">AG16+2.32</f>
        <v>1562.2399999999998</v>
      </c>
      <c r="AI16" s="5">
        <f t="shared" si="110"/>
        <v>1564.5599999999997</v>
      </c>
      <c r="AJ16" s="5">
        <f t="shared" si="110"/>
        <v>1566.8799999999997</v>
      </c>
      <c r="AK16" s="5">
        <f t="shared" si="110"/>
        <v>1569.1999999999996</v>
      </c>
      <c r="AL16" s="5">
        <f t="shared" si="110"/>
        <v>1571.5199999999995</v>
      </c>
      <c r="AM16" s="5">
        <f t="shared" si="110"/>
        <v>1573.8399999999995</v>
      </c>
      <c r="AN16" s="5">
        <f t="shared" si="110"/>
        <v>1576.1599999999994</v>
      </c>
      <c r="AO16" s="6">
        <f t="shared" si="110"/>
        <v>1578.4799999999993</v>
      </c>
      <c r="AP16" s="19">
        <v>1580.8</v>
      </c>
      <c r="AQ16" s="5">
        <f>AP16+2.32</f>
        <v>1583.12</v>
      </c>
      <c r="AR16" s="5">
        <f t="shared" ref="AR16:AY18" si="111">AQ16+2.32</f>
        <v>1585.4399999999998</v>
      </c>
      <c r="AS16" s="5">
        <f t="shared" si="111"/>
        <v>1587.7599999999998</v>
      </c>
      <c r="AT16" s="5">
        <f t="shared" si="111"/>
        <v>1590.0799999999997</v>
      </c>
      <c r="AU16" s="5">
        <f t="shared" si="111"/>
        <v>1592.3999999999996</v>
      </c>
      <c r="AV16" s="5">
        <f t="shared" si="111"/>
        <v>1594.7199999999996</v>
      </c>
      <c r="AW16" s="5">
        <f t="shared" si="111"/>
        <v>1597.0399999999995</v>
      </c>
      <c r="AX16" s="5">
        <f t="shared" si="111"/>
        <v>1599.3599999999994</v>
      </c>
      <c r="AY16" s="6">
        <f t="shared" si="111"/>
        <v>1601.6799999999994</v>
      </c>
      <c r="AZ16" s="19">
        <v>1604</v>
      </c>
      <c r="BA16" s="5">
        <f>AZ16+2.32</f>
        <v>1606.32</v>
      </c>
      <c r="BB16" s="5">
        <f t="shared" ref="BB16:BI18" si="112">BA16+2.32</f>
        <v>1608.6399999999999</v>
      </c>
      <c r="BC16" s="5">
        <f t="shared" si="112"/>
        <v>1610.9599999999998</v>
      </c>
      <c r="BD16" s="5">
        <f t="shared" si="112"/>
        <v>1613.2799999999997</v>
      </c>
      <c r="BE16" s="5">
        <f t="shared" si="112"/>
        <v>1615.5999999999997</v>
      </c>
      <c r="BF16" s="5">
        <f t="shared" si="112"/>
        <v>1617.9199999999996</v>
      </c>
      <c r="BG16" s="5">
        <f t="shared" si="112"/>
        <v>1620.2399999999996</v>
      </c>
      <c r="BH16" s="5">
        <f t="shared" si="112"/>
        <v>1622.5599999999995</v>
      </c>
      <c r="BI16" s="6">
        <f t="shared" si="112"/>
        <v>1624.8799999999994</v>
      </c>
      <c r="BJ16" s="19">
        <v>1627.2</v>
      </c>
      <c r="BK16" s="5">
        <f>BJ16+2.32</f>
        <v>1629.52</v>
      </c>
      <c r="BL16" s="5">
        <f t="shared" ref="BL16:BS17" si="113">BK16+2.32</f>
        <v>1631.84</v>
      </c>
      <c r="BM16" s="5">
        <f t="shared" si="113"/>
        <v>1634.1599999999999</v>
      </c>
      <c r="BN16" s="5">
        <f t="shared" si="113"/>
        <v>1636.4799999999998</v>
      </c>
      <c r="BO16" s="5">
        <f t="shared" si="113"/>
        <v>1638.7999999999997</v>
      </c>
      <c r="BP16" s="5">
        <f t="shared" si="113"/>
        <v>1641.1199999999997</v>
      </c>
      <c r="BQ16" s="5">
        <f t="shared" si="113"/>
        <v>1643.4399999999996</v>
      </c>
      <c r="BR16" s="5">
        <f t="shared" si="113"/>
        <v>1645.7599999999995</v>
      </c>
      <c r="BS16" s="6">
        <f t="shared" si="113"/>
        <v>1648.0799999999995</v>
      </c>
      <c r="BT16" s="19">
        <v>1650.4</v>
      </c>
      <c r="BU16" s="5">
        <f>BT16+2.32</f>
        <v>1652.72</v>
      </c>
      <c r="BV16" s="5">
        <f t="shared" ref="BV16:CC18" si="114">BU16+2.32</f>
        <v>1655.04</v>
      </c>
      <c r="BW16" s="5">
        <f t="shared" si="114"/>
        <v>1657.36</v>
      </c>
      <c r="BX16" s="5">
        <f t="shared" si="114"/>
        <v>1659.6799999999998</v>
      </c>
      <c r="BY16" s="5">
        <f t="shared" si="114"/>
        <v>1661.9999999999998</v>
      </c>
      <c r="BZ16" s="5">
        <f t="shared" si="114"/>
        <v>1664.3199999999997</v>
      </c>
      <c r="CA16" s="5">
        <f t="shared" si="114"/>
        <v>1666.6399999999996</v>
      </c>
      <c r="CB16" s="5">
        <f t="shared" si="114"/>
        <v>1668.9599999999996</v>
      </c>
      <c r="CC16" s="6">
        <f t="shared" si="114"/>
        <v>1671.2799999999995</v>
      </c>
      <c r="CD16" s="19">
        <v>1673.6</v>
      </c>
      <c r="CE16" s="5">
        <f>CD16+2.32</f>
        <v>1675.9199999999998</v>
      </c>
      <c r="CF16" s="5">
        <f t="shared" ref="CF16:CM18" si="115">CE16+2.32</f>
        <v>1678.2399999999998</v>
      </c>
      <c r="CG16" s="5">
        <f t="shared" si="115"/>
        <v>1680.5599999999997</v>
      </c>
      <c r="CH16" s="5">
        <f t="shared" si="115"/>
        <v>1682.8799999999997</v>
      </c>
      <c r="CI16" s="5">
        <f t="shared" si="115"/>
        <v>1685.1999999999996</v>
      </c>
      <c r="CJ16" s="5">
        <f t="shared" si="115"/>
        <v>1687.5199999999995</v>
      </c>
      <c r="CK16" s="5">
        <f t="shared" si="115"/>
        <v>1689.8399999999995</v>
      </c>
      <c r="CL16" s="5">
        <f t="shared" si="115"/>
        <v>1692.1599999999994</v>
      </c>
      <c r="CM16" s="6">
        <f t="shared" si="115"/>
        <v>1694.4799999999993</v>
      </c>
      <c r="CN16" s="19">
        <v>1696.8</v>
      </c>
      <c r="CO16" s="5">
        <f>CN16+2.32</f>
        <v>1699.12</v>
      </c>
      <c r="CP16" s="5">
        <f t="shared" ref="CP16:CW18" si="116">CO16+2.32</f>
        <v>1701.4399999999998</v>
      </c>
      <c r="CQ16" s="5">
        <f t="shared" si="116"/>
        <v>1703.7599999999998</v>
      </c>
      <c r="CR16" s="5">
        <f t="shared" si="116"/>
        <v>1706.0799999999997</v>
      </c>
      <c r="CS16" s="5">
        <f t="shared" si="116"/>
        <v>1708.3999999999996</v>
      </c>
      <c r="CT16" s="5">
        <f t="shared" si="116"/>
        <v>1710.7199999999996</v>
      </c>
      <c r="CU16" s="5">
        <f t="shared" si="116"/>
        <v>1713.0399999999995</v>
      </c>
      <c r="CV16" s="5">
        <f t="shared" si="116"/>
        <v>1715.3599999999994</v>
      </c>
      <c r="CW16" s="6">
        <f t="shared" si="116"/>
        <v>1717.6799999999994</v>
      </c>
    </row>
    <row r="17" spans="1:101" ht="20.100000000000001" customHeight="1">
      <c r="A17" s="4">
        <v>25</v>
      </c>
      <c r="B17" s="19">
        <v>1720</v>
      </c>
      <c r="C17" s="5">
        <f>B17+2.32</f>
        <v>1722.32</v>
      </c>
      <c r="D17" s="5">
        <f t="shared" si="107"/>
        <v>1724.6399999999999</v>
      </c>
      <c r="E17" s="5">
        <f t="shared" si="107"/>
        <v>1726.9599999999998</v>
      </c>
      <c r="F17" s="5">
        <f t="shared" si="107"/>
        <v>1729.2799999999997</v>
      </c>
      <c r="G17" s="5">
        <f t="shared" si="107"/>
        <v>1731.5999999999997</v>
      </c>
      <c r="H17" s="5">
        <f t="shared" si="107"/>
        <v>1733.9199999999996</v>
      </c>
      <c r="I17" s="5">
        <f t="shared" si="107"/>
        <v>1736.2399999999996</v>
      </c>
      <c r="J17" s="5">
        <f t="shared" si="107"/>
        <v>1738.5599999999995</v>
      </c>
      <c r="K17" s="6">
        <f t="shared" si="107"/>
        <v>1740.8799999999994</v>
      </c>
      <c r="L17" s="19">
        <v>1743.2</v>
      </c>
      <c r="M17" s="5">
        <f>L17+2.32</f>
        <v>1745.52</v>
      </c>
      <c r="N17" s="5">
        <f t="shared" si="108"/>
        <v>1747.84</v>
      </c>
      <c r="O17" s="5">
        <f t="shared" si="108"/>
        <v>1750.1599999999999</v>
      </c>
      <c r="P17" s="5">
        <f t="shared" si="108"/>
        <v>1752.4799999999998</v>
      </c>
      <c r="Q17" s="5">
        <f t="shared" si="108"/>
        <v>1754.7999999999997</v>
      </c>
      <c r="R17" s="5">
        <f t="shared" si="108"/>
        <v>1757.1199999999997</v>
      </c>
      <c r="S17" s="5">
        <f t="shared" si="108"/>
        <v>1759.4399999999996</v>
      </c>
      <c r="T17" s="5">
        <f t="shared" si="108"/>
        <v>1761.7599999999995</v>
      </c>
      <c r="U17" s="6">
        <f t="shared" si="108"/>
        <v>1764.0799999999995</v>
      </c>
      <c r="V17" s="19">
        <v>1766.4</v>
      </c>
      <c r="W17" s="5">
        <f>V17+2.32</f>
        <v>1768.72</v>
      </c>
      <c r="X17" s="5">
        <f t="shared" si="109"/>
        <v>1771.04</v>
      </c>
      <c r="Y17" s="5">
        <f t="shared" si="109"/>
        <v>1773.36</v>
      </c>
      <c r="Z17" s="5">
        <f t="shared" si="109"/>
        <v>1775.6799999999998</v>
      </c>
      <c r="AA17" s="5">
        <f t="shared" si="109"/>
        <v>1777.9999999999998</v>
      </c>
      <c r="AB17" s="5">
        <f t="shared" si="109"/>
        <v>1780.3199999999997</v>
      </c>
      <c r="AC17" s="5">
        <f t="shared" si="109"/>
        <v>1782.6399999999996</v>
      </c>
      <c r="AD17" s="5">
        <f t="shared" si="109"/>
        <v>1784.9599999999996</v>
      </c>
      <c r="AE17" s="6">
        <f t="shared" si="109"/>
        <v>1787.2799999999995</v>
      </c>
      <c r="AF17" s="19">
        <v>1789.6</v>
      </c>
      <c r="AG17" s="5">
        <f>AF17+2.32</f>
        <v>1791.9199999999998</v>
      </c>
      <c r="AH17" s="5">
        <f t="shared" si="110"/>
        <v>1794.2399999999998</v>
      </c>
      <c r="AI17" s="5">
        <f t="shared" si="110"/>
        <v>1796.5599999999997</v>
      </c>
      <c r="AJ17" s="5">
        <f t="shared" si="110"/>
        <v>1798.8799999999997</v>
      </c>
      <c r="AK17" s="5">
        <f t="shared" si="110"/>
        <v>1801.1999999999996</v>
      </c>
      <c r="AL17" s="5">
        <f t="shared" si="110"/>
        <v>1803.5199999999995</v>
      </c>
      <c r="AM17" s="5">
        <f t="shared" si="110"/>
        <v>1805.8399999999995</v>
      </c>
      <c r="AN17" s="5">
        <f t="shared" si="110"/>
        <v>1808.1599999999994</v>
      </c>
      <c r="AO17" s="6">
        <f t="shared" si="110"/>
        <v>1810.4799999999993</v>
      </c>
      <c r="AP17" s="19">
        <v>1812.8</v>
      </c>
      <c r="AQ17" s="5">
        <f>AP17+2.32</f>
        <v>1815.12</v>
      </c>
      <c r="AR17" s="5">
        <f t="shared" si="111"/>
        <v>1817.4399999999998</v>
      </c>
      <c r="AS17" s="5">
        <f t="shared" si="111"/>
        <v>1819.7599999999998</v>
      </c>
      <c r="AT17" s="5">
        <f t="shared" si="111"/>
        <v>1822.0799999999997</v>
      </c>
      <c r="AU17" s="5">
        <f t="shared" si="111"/>
        <v>1824.3999999999996</v>
      </c>
      <c r="AV17" s="5">
        <f t="shared" si="111"/>
        <v>1826.7199999999996</v>
      </c>
      <c r="AW17" s="5">
        <f t="shared" si="111"/>
        <v>1829.0399999999995</v>
      </c>
      <c r="AX17" s="5">
        <f t="shared" si="111"/>
        <v>1831.3599999999994</v>
      </c>
      <c r="AY17" s="6">
        <f t="shared" si="111"/>
        <v>1833.6799999999994</v>
      </c>
      <c r="AZ17" s="19">
        <v>1836</v>
      </c>
      <c r="BA17" s="5">
        <f>AZ17+2.32</f>
        <v>1838.32</v>
      </c>
      <c r="BB17" s="5">
        <f t="shared" si="112"/>
        <v>1840.6399999999999</v>
      </c>
      <c r="BC17" s="5">
        <f t="shared" si="112"/>
        <v>1842.9599999999998</v>
      </c>
      <c r="BD17" s="5">
        <f t="shared" si="112"/>
        <v>1845.2799999999997</v>
      </c>
      <c r="BE17" s="5">
        <f t="shared" si="112"/>
        <v>1847.5999999999997</v>
      </c>
      <c r="BF17" s="5">
        <f t="shared" si="112"/>
        <v>1849.9199999999996</v>
      </c>
      <c r="BG17" s="5">
        <f t="shared" si="112"/>
        <v>1852.2399999999996</v>
      </c>
      <c r="BH17" s="5">
        <f t="shared" si="112"/>
        <v>1854.5599999999995</v>
      </c>
      <c r="BI17" s="6">
        <f t="shared" si="112"/>
        <v>1856.8799999999994</v>
      </c>
      <c r="BJ17" s="19">
        <v>1859.2</v>
      </c>
      <c r="BK17" s="5">
        <f>BJ17+2.32</f>
        <v>1861.52</v>
      </c>
      <c r="BL17" s="5">
        <f t="shared" si="113"/>
        <v>1863.84</v>
      </c>
      <c r="BM17" s="5">
        <f t="shared" si="113"/>
        <v>1866.1599999999999</v>
      </c>
      <c r="BN17" s="5">
        <f t="shared" si="113"/>
        <v>1868.4799999999998</v>
      </c>
      <c r="BO17" s="5">
        <f t="shared" si="113"/>
        <v>1870.7999999999997</v>
      </c>
      <c r="BP17" s="5">
        <f t="shared" si="113"/>
        <v>1873.1199999999997</v>
      </c>
      <c r="BQ17" s="5">
        <f t="shared" si="113"/>
        <v>1875.4399999999996</v>
      </c>
      <c r="BR17" s="5">
        <f t="shared" si="113"/>
        <v>1877.7599999999995</v>
      </c>
      <c r="BS17" s="6">
        <f t="shared" si="113"/>
        <v>1880.0799999999995</v>
      </c>
      <c r="BT17" s="19">
        <v>1882.4</v>
      </c>
      <c r="BU17" s="5">
        <f>BT17+2.32</f>
        <v>1884.72</v>
      </c>
      <c r="BV17" s="5">
        <f t="shared" si="114"/>
        <v>1887.04</v>
      </c>
      <c r="BW17" s="5">
        <f t="shared" si="114"/>
        <v>1889.36</v>
      </c>
      <c r="BX17" s="5">
        <f t="shared" si="114"/>
        <v>1891.6799999999998</v>
      </c>
      <c r="BY17" s="5">
        <f t="shared" si="114"/>
        <v>1893.9999999999998</v>
      </c>
      <c r="BZ17" s="5">
        <f t="shared" si="114"/>
        <v>1896.3199999999997</v>
      </c>
      <c r="CA17" s="5">
        <f t="shared" si="114"/>
        <v>1898.6399999999996</v>
      </c>
      <c r="CB17" s="5">
        <f t="shared" si="114"/>
        <v>1900.9599999999996</v>
      </c>
      <c r="CC17" s="6">
        <f t="shared" si="114"/>
        <v>1903.2799999999995</v>
      </c>
      <c r="CD17" s="19">
        <v>1905.6</v>
      </c>
      <c r="CE17" s="5">
        <f>CD17+2.32</f>
        <v>1907.9199999999998</v>
      </c>
      <c r="CF17" s="5">
        <f t="shared" si="115"/>
        <v>1910.2399999999998</v>
      </c>
      <c r="CG17" s="5">
        <f t="shared" si="115"/>
        <v>1912.5599999999997</v>
      </c>
      <c r="CH17" s="5">
        <f t="shared" si="115"/>
        <v>1914.8799999999997</v>
      </c>
      <c r="CI17" s="5">
        <f t="shared" si="115"/>
        <v>1917.1999999999996</v>
      </c>
      <c r="CJ17" s="5">
        <f t="shared" si="115"/>
        <v>1919.5199999999995</v>
      </c>
      <c r="CK17" s="5">
        <f t="shared" si="115"/>
        <v>1921.8399999999995</v>
      </c>
      <c r="CL17" s="5">
        <f t="shared" si="115"/>
        <v>1924.1599999999994</v>
      </c>
      <c r="CM17" s="6">
        <f t="shared" si="115"/>
        <v>1926.4799999999993</v>
      </c>
      <c r="CN17" s="19">
        <v>1928.8</v>
      </c>
      <c r="CO17" s="5">
        <f>CN17+2.32</f>
        <v>1931.12</v>
      </c>
      <c r="CP17" s="5">
        <f t="shared" si="116"/>
        <v>1933.4399999999998</v>
      </c>
      <c r="CQ17" s="5">
        <f t="shared" si="116"/>
        <v>1935.7599999999998</v>
      </c>
      <c r="CR17" s="5">
        <f t="shared" si="116"/>
        <v>1938.0799999999997</v>
      </c>
      <c r="CS17" s="5">
        <f t="shared" si="116"/>
        <v>1940.3999999999996</v>
      </c>
      <c r="CT17" s="5">
        <f t="shared" si="116"/>
        <v>1942.7199999999996</v>
      </c>
      <c r="CU17" s="5">
        <f t="shared" si="116"/>
        <v>1945.0399999999995</v>
      </c>
      <c r="CV17" s="5">
        <f t="shared" si="116"/>
        <v>1947.3599999999994</v>
      </c>
      <c r="CW17" s="6">
        <f t="shared" si="116"/>
        <v>1949.6799999999994</v>
      </c>
    </row>
    <row r="18" spans="1:101" ht="19.5" customHeight="1" thickBot="1">
      <c r="A18" s="7">
        <v>26</v>
      </c>
      <c r="B18" s="20">
        <v>1952</v>
      </c>
      <c r="C18" s="8">
        <f>B18+2.32</f>
        <v>1954.32</v>
      </c>
      <c r="D18" s="8">
        <f t="shared" si="107"/>
        <v>1956.6399999999999</v>
      </c>
      <c r="E18" s="8">
        <f t="shared" si="107"/>
        <v>1958.9599999999998</v>
      </c>
      <c r="F18" s="8">
        <f t="shared" si="107"/>
        <v>1961.2799999999997</v>
      </c>
      <c r="G18" s="8">
        <f t="shared" si="107"/>
        <v>1963.5999999999997</v>
      </c>
      <c r="H18" s="8">
        <f t="shared" si="107"/>
        <v>1965.9199999999996</v>
      </c>
      <c r="I18" s="8">
        <f t="shared" si="107"/>
        <v>1968.2399999999996</v>
      </c>
      <c r="J18" s="8">
        <f t="shared" si="107"/>
        <v>1970.5599999999995</v>
      </c>
      <c r="K18" s="9">
        <f t="shared" si="107"/>
        <v>1972.8799999999994</v>
      </c>
      <c r="L18" s="20">
        <v>1975.2</v>
      </c>
      <c r="M18" s="8">
        <f>L18+2.32</f>
        <v>1977.52</v>
      </c>
      <c r="N18" s="8">
        <f t="shared" si="108"/>
        <v>1979.84</v>
      </c>
      <c r="O18" s="8">
        <f t="shared" si="108"/>
        <v>1982.1599999999999</v>
      </c>
      <c r="P18" s="8">
        <f t="shared" si="108"/>
        <v>1984.4799999999998</v>
      </c>
      <c r="Q18" s="8">
        <f t="shared" si="108"/>
        <v>1986.7999999999997</v>
      </c>
      <c r="R18" s="8">
        <f t="shared" si="108"/>
        <v>1989.1199999999997</v>
      </c>
      <c r="S18" s="8">
        <f t="shared" si="108"/>
        <v>1991.4399999999996</v>
      </c>
      <c r="T18" s="8">
        <f t="shared" si="108"/>
        <v>1993.7599999999995</v>
      </c>
      <c r="U18" s="9">
        <f t="shared" si="108"/>
        <v>1996.0799999999995</v>
      </c>
      <c r="V18" s="20">
        <v>1998.4</v>
      </c>
      <c r="W18" s="8">
        <f>V18+2.32</f>
        <v>2000.72</v>
      </c>
      <c r="X18" s="8">
        <f t="shared" si="109"/>
        <v>2003.04</v>
      </c>
      <c r="Y18" s="8">
        <f t="shared" si="109"/>
        <v>2005.36</v>
      </c>
      <c r="Z18" s="8">
        <f t="shared" si="109"/>
        <v>2007.6799999999998</v>
      </c>
      <c r="AA18" s="8">
        <f t="shared" si="109"/>
        <v>2009.9999999999998</v>
      </c>
      <c r="AB18" s="8">
        <f t="shared" si="109"/>
        <v>2012.3199999999997</v>
      </c>
      <c r="AC18" s="8">
        <f t="shared" si="109"/>
        <v>2014.6399999999996</v>
      </c>
      <c r="AD18" s="8">
        <f t="shared" si="109"/>
        <v>2016.9599999999996</v>
      </c>
      <c r="AE18" s="9">
        <f t="shared" si="109"/>
        <v>2019.2799999999995</v>
      </c>
      <c r="AF18" s="20">
        <v>2021.6</v>
      </c>
      <c r="AG18" s="8">
        <f>AF18+2.32</f>
        <v>2023.9199999999998</v>
      </c>
      <c r="AH18" s="8">
        <f t="shared" si="110"/>
        <v>2026.2399999999998</v>
      </c>
      <c r="AI18" s="8">
        <f t="shared" si="110"/>
        <v>2028.5599999999997</v>
      </c>
      <c r="AJ18" s="8">
        <f t="shared" si="110"/>
        <v>2030.8799999999997</v>
      </c>
      <c r="AK18" s="8">
        <f t="shared" si="110"/>
        <v>2033.1999999999996</v>
      </c>
      <c r="AL18" s="8">
        <f t="shared" si="110"/>
        <v>2035.5199999999995</v>
      </c>
      <c r="AM18" s="8">
        <f t="shared" si="110"/>
        <v>2037.8399999999995</v>
      </c>
      <c r="AN18" s="8">
        <f t="shared" si="110"/>
        <v>2040.1599999999994</v>
      </c>
      <c r="AO18" s="9">
        <f t="shared" si="110"/>
        <v>2042.4799999999993</v>
      </c>
      <c r="AP18" s="20">
        <v>2044.8</v>
      </c>
      <c r="AQ18" s="8">
        <f>AP18+2.32</f>
        <v>2047.12</v>
      </c>
      <c r="AR18" s="8">
        <f t="shared" si="111"/>
        <v>2049.44</v>
      </c>
      <c r="AS18" s="8">
        <f t="shared" si="111"/>
        <v>2051.7600000000002</v>
      </c>
      <c r="AT18" s="8">
        <f t="shared" si="111"/>
        <v>2054.0800000000004</v>
      </c>
      <c r="AU18" s="8">
        <f t="shared" si="111"/>
        <v>2056.4000000000005</v>
      </c>
      <c r="AV18" s="8">
        <f t="shared" si="111"/>
        <v>2058.7200000000007</v>
      </c>
      <c r="AW18" s="8">
        <f t="shared" si="111"/>
        <v>2061.0400000000009</v>
      </c>
      <c r="AX18" s="8">
        <f t="shared" si="111"/>
        <v>2063.360000000001</v>
      </c>
      <c r="AY18" s="9">
        <f t="shared" si="111"/>
        <v>2065.6800000000012</v>
      </c>
      <c r="AZ18" s="20">
        <v>2068</v>
      </c>
      <c r="BA18" s="8">
        <f>AZ18+2.32</f>
        <v>2070.3200000000002</v>
      </c>
      <c r="BB18" s="8">
        <f t="shared" si="112"/>
        <v>2072.6400000000003</v>
      </c>
      <c r="BC18" s="8">
        <f t="shared" si="112"/>
        <v>2074.9600000000005</v>
      </c>
      <c r="BD18" s="8">
        <f t="shared" si="112"/>
        <v>2077.2800000000007</v>
      </c>
      <c r="BE18" s="8">
        <f t="shared" si="112"/>
        <v>2079.6000000000008</v>
      </c>
      <c r="BF18" s="8">
        <f t="shared" si="112"/>
        <v>2081.920000000001</v>
      </c>
      <c r="BG18" s="8">
        <f t="shared" si="112"/>
        <v>2084.2400000000011</v>
      </c>
      <c r="BH18" s="8">
        <f t="shared" si="112"/>
        <v>2086.5600000000013</v>
      </c>
      <c r="BI18" s="9">
        <f t="shared" si="112"/>
        <v>2088.8800000000015</v>
      </c>
      <c r="BJ18" s="20">
        <v>2091.1999999999998</v>
      </c>
      <c r="BK18" s="8">
        <v>2093.56</v>
      </c>
      <c r="BL18" s="8">
        <v>2095.92</v>
      </c>
      <c r="BM18" s="8">
        <v>2098.2800000000002</v>
      </c>
      <c r="BN18" s="8">
        <v>2100.6400000000003</v>
      </c>
      <c r="BO18" s="8">
        <v>2103.0000000000005</v>
      </c>
      <c r="BP18" s="8">
        <v>2105.3600000000006</v>
      </c>
      <c r="BQ18" s="8">
        <v>2107.7200000000007</v>
      </c>
      <c r="BR18" s="8">
        <v>2110.0800000000008</v>
      </c>
      <c r="BS18" s="9">
        <v>2112.440000000001</v>
      </c>
      <c r="BT18" s="20">
        <v>2114.8000000000002</v>
      </c>
      <c r="BU18" s="8">
        <f>BT18+2.32</f>
        <v>2117.1200000000003</v>
      </c>
      <c r="BV18" s="8">
        <f t="shared" si="114"/>
        <v>2119.4400000000005</v>
      </c>
      <c r="BW18" s="8">
        <f t="shared" si="114"/>
        <v>2121.7600000000007</v>
      </c>
      <c r="BX18" s="8">
        <f t="shared" si="114"/>
        <v>2124.0800000000008</v>
      </c>
      <c r="BY18" s="8">
        <f t="shared" si="114"/>
        <v>2126.400000000001</v>
      </c>
      <c r="BZ18" s="8">
        <f t="shared" si="114"/>
        <v>2128.7200000000012</v>
      </c>
      <c r="CA18" s="8">
        <f t="shared" si="114"/>
        <v>2131.0400000000013</v>
      </c>
      <c r="CB18" s="8">
        <f t="shared" si="114"/>
        <v>2133.3600000000015</v>
      </c>
      <c r="CC18" s="9">
        <f t="shared" si="114"/>
        <v>2135.6800000000017</v>
      </c>
      <c r="CD18" s="20">
        <v>2138</v>
      </c>
      <c r="CE18" s="8">
        <f>CD18+2.32</f>
        <v>2140.3200000000002</v>
      </c>
      <c r="CF18" s="8">
        <f t="shared" si="115"/>
        <v>2142.6400000000003</v>
      </c>
      <c r="CG18" s="8">
        <f t="shared" si="115"/>
        <v>2144.9600000000005</v>
      </c>
      <c r="CH18" s="8">
        <f t="shared" si="115"/>
        <v>2147.2800000000007</v>
      </c>
      <c r="CI18" s="8">
        <f t="shared" si="115"/>
        <v>2149.6000000000008</v>
      </c>
      <c r="CJ18" s="8">
        <f t="shared" si="115"/>
        <v>2151.920000000001</v>
      </c>
      <c r="CK18" s="8">
        <f t="shared" si="115"/>
        <v>2154.2400000000011</v>
      </c>
      <c r="CL18" s="8">
        <f t="shared" si="115"/>
        <v>2156.5600000000013</v>
      </c>
      <c r="CM18" s="9">
        <f t="shared" si="115"/>
        <v>2158.8800000000015</v>
      </c>
      <c r="CN18" s="20">
        <v>2161.1999999999998</v>
      </c>
      <c r="CO18" s="8">
        <f>CN18+2.32</f>
        <v>2163.52</v>
      </c>
      <c r="CP18" s="8">
        <f t="shared" si="116"/>
        <v>2165.84</v>
      </c>
      <c r="CQ18" s="8">
        <f t="shared" si="116"/>
        <v>2168.1600000000003</v>
      </c>
      <c r="CR18" s="8">
        <f t="shared" si="116"/>
        <v>2170.4800000000005</v>
      </c>
      <c r="CS18" s="8">
        <f t="shared" si="116"/>
        <v>2172.8000000000006</v>
      </c>
      <c r="CT18" s="8">
        <f t="shared" si="116"/>
        <v>2175.1200000000008</v>
      </c>
      <c r="CU18" s="8">
        <f t="shared" si="116"/>
        <v>2177.440000000001</v>
      </c>
      <c r="CV18" s="8">
        <f t="shared" si="116"/>
        <v>2179.7600000000011</v>
      </c>
      <c r="CW18" s="9">
        <f t="shared" si="116"/>
        <v>2182.0800000000013</v>
      </c>
    </row>
    <row r="19" spans="1:101" ht="43.5" customHeight="1">
      <c r="B19" s="14"/>
    </row>
    <row r="20" spans="1:101">
      <c r="A20" s="11"/>
    </row>
    <row r="21" spans="1:101">
      <c r="A21" s="11"/>
    </row>
    <row r="22" spans="1:101">
      <c r="A22" s="11"/>
      <c r="CU22" s="14">
        <f>CW14-B15</f>
        <v>-2.0800000000006094</v>
      </c>
    </row>
    <row r="23" spans="1:101">
      <c r="A23" s="11"/>
    </row>
    <row r="24" spans="1:101">
      <c r="A24" s="11"/>
      <c r="D24" s="13" t="s">
        <v>1</v>
      </c>
    </row>
    <row r="25" spans="1:101">
      <c r="A25" s="11"/>
    </row>
    <row r="26" spans="1:101">
      <c r="A26" s="11"/>
    </row>
    <row r="27" spans="1:101">
      <c r="A27" s="11"/>
    </row>
    <row r="28" spans="1:101">
      <c r="A28" s="11"/>
    </row>
    <row r="29" spans="1:101">
      <c r="A29" s="11"/>
    </row>
    <row r="30" spans="1:101">
      <c r="A30" s="11"/>
    </row>
    <row r="31" spans="1:101">
      <c r="A31" s="11"/>
    </row>
    <row r="32" spans="1:101">
      <c r="A32" s="11"/>
    </row>
    <row r="34" spans="1:1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>
      <c r="A35" s="11"/>
    </row>
    <row r="36" spans="1:11">
      <c r="A36" s="11"/>
    </row>
    <row r="37" spans="1:11">
      <c r="A37" s="11"/>
    </row>
    <row r="38" spans="1:11">
      <c r="A38" s="11"/>
    </row>
    <row r="39" spans="1:11">
      <c r="A39" s="11"/>
    </row>
    <row r="40" spans="1:11">
      <c r="A40" s="11"/>
    </row>
    <row r="41" spans="1:11">
      <c r="A41" s="11"/>
    </row>
    <row r="42" spans="1:11">
      <c r="A42" s="11"/>
    </row>
    <row r="43" spans="1:11">
      <c r="A43" s="11"/>
    </row>
    <row r="44" spans="1:11">
      <c r="A44" s="11"/>
    </row>
    <row r="45" spans="1:11">
      <c r="A45" s="11"/>
    </row>
    <row r="46" spans="1:11">
      <c r="A46" s="11"/>
    </row>
    <row r="47" spans="1:11">
      <c r="A47" s="11"/>
    </row>
    <row r="48" spans="1:11">
      <c r="A48" s="11"/>
    </row>
    <row r="50" spans="1:11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</row>
    <row r="51" spans="1:11">
      <c r="A51" s="11"/>
    </row>
    <row r="52" spans="1:11">
      <c r="A52" s="11"/>
    </row>
    <row r="53" spans="1:11">
      <c r="A53" s="11"/>
    </row>
    <row r="54" spans="1:11">
      <c r="A54" s="11"/>
    </row>
    <row r="55" spans="1:11">
      <c r="A55" s="11"/>
    </row>
    <row r="56" spans="1:11">
      <c r="A56" s="11"/>
    </row>
    <row r="57" spans="1:11">
      <c r="A57" s="11"/>
    </row>
    <row r="58" spans="1:11">
      <c r="A58" s="11"/>
    </row>
    <row r="59" spans="1:11">
      <c r="A59" s="11"/>
    </row>
    <row r="60" spans="1:11">
      <c r="A60" s="11"/>
    </row>
    <row r="61" spans="1:11">
      <c r="A61" s="11"/>
    </row>
    <row r="62" spans="1:11">
      <c r="A62" s="11"/>
    </row>
    <row r="63" spans="1:11">
      <c r="A63" s="11"/>
    </row>
    <row r="64" spans="1:11">
      <c r="A64" s="11"/>
    </row>
    <row r="66" spans="1:11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</row>
    <row r="67" spans="1:11">
      <c r="A67" s="11"/>
    </row>
    <row r="68" spans="1:11">
      <c r="A68" s="11"/>
    </row>
    <row r="69" spans="1:11">
      <c r="A69" s="11"/>
    </row>
    <row r="70" spans="1:11">
      <c r="A70" s="11"/>
    </row>
    <row r="71" spans="1:11">
      <c r="A71" s="11"/>
    </row>
    <row r="72" spans="1:11">
      <c r="A72" s="11"/>
    </row>
    <row r="73" spans="1:11">
      <c r="A73" s="11"/>
    </row>
    <row r="74" spans="1:11">
      <c r="A74" s="11"/>
    </row>
    <row r="75" spans="1:11">
      <c r="A75" s="11"/>
    </row>
    <row r="76" spans="1:11">
      <c r="A76" s="11"/>
    </row>
    <row r="77" spans="1:11">
      <c r="A77" s="11"/>
    </row>
    <row r="78" spans="1:11">
      <c r="A78" s="11"/>
    </row>
    <row r="79" spans="1:11">
      <c r="A79" s="11"/>
    </row>
    <row r="80" spans="1:11">
      <c r="A80" s="11"/>
    </row>
    <row r="99" spans="1:1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</row>
    <row r="100" spans="1:11">
      <c r="A100" s="11"/>
    </row>
    <row r="101" spans="1:11">
      <c r="A101" s="11"/>
    </row>
    <row r="102" spans="1:11">
      <c r="A102" s="11"/>
    </row>
    <row r="103" spans="1:11">
      <c r="A103" s="11"/>
    </row>
    <row r="104" spans="1:11">
      <c r="A104" s="11"/>
    </row>
    <row r="105" spans="1:11">
      <c r="A105" s="11"/>
    </row>
    <row r="106" spans="1:11">
      <c r="A106" s="11"/>
    </row>
    <row r="107" spans="1:11">
      <c r="A107" s="11"/>
    </row>
    <row r="108" spans="1:11">
      <c r="A108" s="11"/>
    </row>
    <row r="109" spans="1:11">
      <c r="A109" s="11"/>
    </row>
    <row r="110" spans="1:11">
      <c r="A110" s="11"/>
    </row>
    <row r="111" spans="1:11">
      <c r="A111" s="11"/>
    </row>
    <row r="112" spans="1:11">
      <c r="A112" s="11"/>
    </row>
    <row r="113" spans="1:11">
      <c r="A113" s="11"/>
    </row>
    <row r="115" spans="1:11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</row>
    <row r="116" spans="1:11">
      <c r="A116" s="11"/>
    </row>
    <row r="117" spans="1:11">
      <c r="A117" s="11"/>
    </row>
    <row r="118" spans="1:11">
      <c r="A118" s="11"/>
    </row>
    <row r="119" spans="1:11">
      <c r="A119" s="11"/>
    </row>
    <row r="120" spans="1:11">
      <c r="A120" s="11"/>
    </row>
    <row r="121" spans="1:11">
      <c r="A121" s="11"/>
    </row>
    <row r="122" spans="1:11">
      <c r="A122" s="11"/>
    </row>
    <row r="123" spans="1:11">
      <c r="A123" s="11"/>
    </row>
    <row r="124" spans="1:11">
      <c r="A124" s="11"/>
    </row>
    <row r="125" spans="1:11">
      <c r="A125" s="11"/>
    </row>
    <row r="126" spans="1:11">
      <c r="A126" s="11"/>
    </row>
    <row r="127" spans="1:11">
      <c r="A127" s="11"/>
    </row>
    <row r="128" spans="1:11">
      <c r="A128" s="11"/>
    </row>
    <row r="129" spans="1:11">
      <c r="A129" s="11"/>
    </row>
    <row r="139" spans="1:1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</row>
    <row r="140" spans="1:11">
      <c r="A140" s="11"/>
    </row>
    <row r="141" spans="1:11">
      <c r="A141" s="11"/>
    </row>
    <row r="142" spans="1:11">
      <c r="A142" s="11"/>
    </row>
    <row r="143" spans="1:11">
      <c r="A143" s="11"/>
    </row>
    <row r="144" spans="1:11">
      <c r="A144" s="11"/>
    </row>
    <row r="145" spans="1:11">
      <c r="A145" s="11"/>
    </row>
    <row r="146" spans="1:11">
      <c r="A146" s="11"/>
    </row>
    <row r="147" spans="1:11">
      <c r="A147" s="11"/>
    </row>
    <row r="148" spans="1:11">
      <c r="A148" s="11"/>
    </row>
    <row r="149" spans="1:11">
      <c r="A149" s="11"/>
    </row>
    <row r="150" spans="1:11">
      <c r="A150" s="11"/>
    </row>
    <row r="151" spans="1:11">
      <c r="A151" s="11"/>
    </row>
    <row r="152" spans="1:11">
      <c r="A152" s="11"/>
    </row>
    <row r="153" spans="1:11">
      <c r="A153" s="11"/>
    </row>
    <row r="155" spans="1:1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</row>
    <row r="156" spans="1:11">
      <c r="A156" s="11"/>
    </row>
    <row r="157" spans="1:11">
      <c r="A157" s="11"/>
    </row>
    <row r="158" spans="1:11">
      <c r="A158" s="11"/>
    </row>
    <row r="159" spans="1:11">
      <c r="A159" s="11"/>
    </row>
    <row r="160" spans="1:11">
      <c r="A160" s="11"/>
    </row>
    <row r="161" spans="1:1">
      <c r="A161" s="11"/>
    </row>
    <row r="162" spans="1:1">
      <c r="A162" s="11"/>
    </row>
    <row r="163" spans="1:1">
      <c r="A163" s="11"/>
    </row>
    <row r="164" spans="1:1">
      <c r="A164" s="11"/>
    </row>
    <row r="165" spans="1:1">
      <c r="A165" s="11"/>
    </row>
    <row r="166" spans="1:1">
      <c r="A166" s="11"/>
    </row>
    <row r="167" spans="1:1">
      <c r="A167" s="11"/>
    </row>
    <row r="168" spans="1:1">
      <c r="A168" s="11"/>
    </row>
    <row r="169" spans="1:1">
      <c r="A169" s="11"/>
    </row>
    <row r="179" spans="1:1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</row>
    <row r="180" spans="1:11">
      <c r="A180" s="11"/>
    </row>
    <row r="181" spans="1:11">
      <c r="A181" s="11"/>
    </row>
    <row r="182" spans="1:11">
      <c r="A182" s="11"/>
    </row>
    <row r="183" spans="1:11">
      <c r="A183" s="11"/>
    </row>
    <row r="184" spans="1:11">
      <c r="A184" s="11"/>
    </row>
    <row r="185" spans="1:11">
      <c r="A185" s="11"/>
    </row>
    <row r="186" spans="1:11">
      <c r="A186" s="11"/>
    </row>
    <row r="187" spans="1:11">
      <c r="A187" s="11"/>
    </row>
    <row r="188" spans="1:11">
      <c r="A188" s="11"/>
    </row>
    <row r="189" spans="1:11">
      <c r="A189" s="11"/>
    </row>
    <row r="190" spans="1:11">
      <c r="A190" s="11"/>
    </row>
    <row r="191" spans="1:11">
      <c r="A191" s="11"/>
    </row>
    <row r="192" spans="1:11">
      <c r="A192" s="11"/>
    </row>
    <row r="193" spans="1:11">
      <c r="A193" s="11"/>
    </row>
    <row r="195" spans="1:1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</row>
    <row r="196" spans="1:11">
      <c r="A196" s="11"/>
    </row>
    <row r="197" spans="1:11">
      <c r="A197" s="11"/>
    </row>
    <row r="198" spans="1:11">
      <c r="A198" s="11"/>
    </row>
    <row r="199" spans="1:11">
      <c r="A199" s="11"/>
    </row>
    <row r="200" spans="1:11">
      <c r="A200" s="11"/>
    </row>
    <row r="201" spans="1:11">
      <c r="A201" s="11"/>
    </row>
    <row r="202" spans="1:11">
      <c r="A202" s="11"/>
    </row>
    <row r="203" spans="1:11">
      <c r="A203" s="11"/>
    </row>
    <row r="204" spans="1:11">
      <c r="A204" s="11"/>
    </row>
    <row r="205" spans="1:11">
      <c r="A205" s="11"/>
    </row>
    <row r="206" spans="1:11">
      <c r="A206" s="11"/>
    </row>
    <row r="207" spans="1:11">
      <c r="A207" s="11"/>
    </row>
    <row r="208" spans="1:11">
      <c r="A208" s="11"/>
    </row>
    <row r="209" spans="1:11">
      <c r="A209" s="11"/>
    </row>
    <row r="219" spans="1:11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</row>
    <row r="220" spans="1:11">
      <c r="A220" s="11"/>
    </row>
    <row r="221" spans="1:11">
      <c r="A221" s="11"/>
    </row>
    <row r="222" spans="1:11">
      <c r="A222" s="11"/>
    </row>
    <row r="223" spans="1:11">
      <c r="A223" s="11"/>
    </row>
    <row r="224" spans="1:11">
      <c r="A224" s="11"/>
    </row>
    <row r="225" spans="1:11">
      <c r="A225" s="11"/>
    </row>
    <row r="226" spans="1:11">
      <c r="A226" s="11"/>
    </row>
    <row r="227" spans="1:11">
      <c r="A227" s="11"/>
    </row>
    <row r="228" spans="1:11">
      <c r="A228" s="11"/>
    </row>
    <row r="229" spans="1:11">
      <c r="A229" s="11"/>
    </row>
    <row r="230" spans="1:11">
      <c r="A230" s="11"/>
    </row>
    <row r="231" spans="1:11">
      <c r="A231" s="11"/>
    </row>
    <row r="232" spans="1:11">
      <c r="A232" s="11"/>
    </row>
    <row r="233" spans="1:11">
      <c r="A233" s="11"/>
    </row>
    <row r="235" spans="1:11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</row>
    <row r="236" spans="1:11">
      <c r="A236" s="11"/>
    </row>
    <row r="237" spans="1:11">
      <c r="A237" s="11"/>
    </row>
    <row r="238" spans="1:11">
      <c r="A238" s="11"/>
    </row>
    <row r="239" spans="1:11">
      <c r="A239" s="11"/>
    </row>
    <row r="240" spans="1:11">
      <c r="A240" s="11"/>
    </row>
    <row r="241" spans="1:1">
      <c r="A241" s="11"/>
    </row>
    <row r="242" spans="1:1">
      <c r="A242" s="11"/>
    </row>
    <row r="243" spans="1:1">
      <c r="A243" s="11"/>
    </row>
    <row r="244" spans="1:1">
      <c r="A244" s="11"/>
    </row>
    <row r="245" spans="1:1">
      <c r="A245" s="11"/>
    </row>
    <row r="246" spans="1:1">
      <c r="A246" s="11"/>
    </row>
    <row r="247" spans="1:1">
      <c r="A247" s="11"/>
    </row>
    <row r="248" spans="1:1">
      <c r="A248" s="11"/>
    </row>
    <row r="249" spans="1:1">
      <c r="A249" s="11"/>
    </row>
    <row r="259" spans="1:11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</row>
    <row r="260" spans="1:11">
      <c r="A260" s="11"/>
    </row>
    <row r="261" spans="1:11">
      <c r="A261" s="11"/>
    </row>
    <row r="262" spans="1:11">
      <c r="A262" s="11"/>
    </row>
    <row r="263" spans="1:11">
      <c r="A263" s="11"/>
    </row>
    <row r="264" spans="1:11">
      <c r="A264" s="11"/>
    </row>
    <row r="265" spans="1:11">
      <c r="A265" s="11"/>
    </row>
    <row r="266" spans="1:11">
      <c r="A266" s="11"/>
    </row>
    <row r="267" spans="1:11">
      <c r="A267" s="11"/>
    </row>
    <row r="268" spans="1:11">
      <c r="A268" s="11"/>
    </row>
    <row r="269" spans="1:11">
      <c r="A269" s="11"/>
    </row>
    <row r="270" spans="1:11">
      <c r="A270" s="11"/>
    </row>
    <row r="271" spans="1:11">
      <c r="A271" s="11"/>
    </row>
    <row r="272" spans="1:11">
      <c r="A272" s="11"/>
    </row>
    <row r="273" spans="1:11">
      <c r="A273" s="11"/>
    </row>
    <row r="275" spans="1:11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</row>
    <row r="276" spans="1:11">
      <c r="A276" s="11"/>
    </row>
    <row r="277" spans="1:11">
      <c r="A277" s="11"/>
    </row>
    <row r="278" spans="1:11">
      <c r="A278" s="11"/>
    </row>
    <row r="279" spans="1:11">
      <c r="A279" s="11"/>
    </row>
    <row r="280" spans="1:11">
      <c r="A280" s="11"/>
    </row>
    <row r="281" spans="1:11">
      <c r="A281" s="11"/>
    </row>
    <row r="282" spans="1:11">
      <c r="A282" s="11"/>
    </row>
    <row r="283" spans="1:11">
      <c r="A283" s="11"/>
    </row>
    <row r="284" spans="1:11">
      <c r="A284" s="11"/>
    </row>
    <row r="285" spans="1:11">
      <c r="A285" s="11"/>
    </row>
    <row r="286" spans="1:11">
      <c r="A286" s="11"/>
    </row>
    <row r="287" spans="1:11">
      <c r="A287" s="11"/>
    </row>
    <row r="288" spans="1:11">
      <c r="A288" s="11"/>
    </row>
    <row r="289" spans="1:1">
      <c r="A289" s="11"/>
    </row>
  </sheetData>
  <mergeCells count="2">
    <mergeCell ref="A1:CW1"/>
    <mergeCell ref="A2:O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Cong Nguyen Dinh</cp:lastModifiedBy>
  <dcterms:created xsi:type="dcterms:W3CDTF">2025-08-04T07:08:28Z</dcterms:created>
  <dcterms:modified xsi:type="dcterms:W3CDTF">2025-09-21T04:25:53Z</dcterms:modified>
</cp:coreProperties>
</file>