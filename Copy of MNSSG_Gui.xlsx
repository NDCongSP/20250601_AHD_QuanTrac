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yCompany\8.SourceCode\3.Projects\20250601_AHD_QuanTrac\"/>
    </mc:Choice>
  </mc:AlternateContent>
  <xr:revisionPtr revIDLastSave="0" documentId="13_ncr:1_{BCB2F543-079D-410F-B26E-E8450F8952CA}" xr6:coauthVersionLast="47" xr6:coauthVersionMax="47" xr10:uidLastSave="{00000000-0000-0000-0000-000000000000}"/>
  <bookViews>
    <workbookView xWindow="0" yWindow="360" windowWidth="29040" windowHeight="15720" xr2:uid="{6F0BD5D8-8162-4346-B544-7DEEB8C67DE7}"/>
  </bookViews>
  <sheets>
    <sheet name="MN_SSG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8" i="1" l="1"/>
  <c r="J10" i="1"/>
  <c r="J8" i="1"/>
  <c r="I41" i="1"/>
  <c r="I24" i="1"/>
  <c r="I10" i="1"/>
  <c r="I8" i="1"/>
  <c r="I4" i="1" s="1"/>
  <c r="J24" i="1"/>
  <c r="J21" i="1" s="1"/>
</calcChain>
</file>

<file path=xl/sharedStrings.xml><?xml version="1.0" encoding="utf-8"?>
<sst xmlns="http://schemas.openxmlformats.org/spreadsheetml/2006/main" count="64" uniqueCount="30">
  <si>
    <t>K/Cách</t>
  </si>
  <si>
    <t xml:space="preserve">Bờ phải </t>
  </si>
  <si>
    <t xml:space="preserve"> Bờ trái</t>
  </si>
  <si>
    <t>Q=300</t>
  </si>
  <si>
    <t>Q=400</t>
  </si>
  <si>
    <t>Q=600</t>
  </si>
  <si>
    <t>Q=2800</t>
  </si>
  <si>
    <t>Vị trí</t>
  </si>
  <si>
    <t>Chân đập</t>
  </si>
  <si>
    <t>Cầu Mới</t>
  </si>
  <si>
    <t>Cầu Bến Củi</t>
  </si>
  <si>
    <t>Láng The</t>
  </si>
  <si>
    <t>Cửa sông Thị Tính</t>
  </si>
  <si>
    <t>Cầu Phú Cường</t>
  </si>
  <si>
    <t>Cửa Rạch Tra</t>
  </si>
  <si>
    <t>Cầu Phú Long</t>
  </si>
  <si>
    <t>""</t>
  </si>
  <si>
    <t>Chọn data</t>
  </si>
  <si>
    <t>x</t>
  </si>
  <si>
    <t>Hiển thị</t>
  </si>
  <si>
    <t xml:space="preserve">"" </t>
  </si>
  <si>
    <t>"" cầu thạnh an</t>
  </si>
  <si>
    <t>trạm sơn đài</t>
  </si>
  <si>
    <t>trạm Dầu Tiếng</t>
  </si>
  <si>
    <t>trạm Bến Súc</t>
  </si>
  <si>
    <t>chân đập = Sơn đài + (8.4 x 0.00001 x 7500)</t>
  </si>
  <si>
    <t>Trạm bình nhâm</t>
  </si>
  <si>
    <t>TH1 (bến súc &gt; = bình nhâm : thanh an = bến súc + (8.4 x 0.00001 x 11150)</t>
  </si>
  <si>
    <t>TH2 (bến súc &lt; bình nhâm : thanh an = bến súc - (8.4 x 0.00001 x 11150)</t>
  </si>
  <si>
    <t xml:space="preserve"> Bến Dược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</si>
</sst>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1" fillId="0" borderId="0" xfId="0" applyFont="1"/>
    <xf numFmtId="0" fontId="2" fillId="2" borderId="0" xfId="0" applyFont="1" applyFill="1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B67B6-CBE2-4C71-8A2F-FF3578F2E113}">
  <dimension ref="A1:K42"/>
  <sheetViews>
    <sheetView tabSelected="1" zoomScale="85" zoomScaleNormal="85" workbookViewId="0">
      <selection activeCell="H3" sqref="H3"/>
    </sheetView>
  </sheetViews>
  <sheetFormatPr defaultRowHeight="15" x14ac:dyDescent="0.25"/>
  <cols>
    <col min="1" max="1" width="11.28515625" customWidth="1"/>
    <col min="2" max="3" width="9.140625" style="3"/>
    <col min="4" max="4" width="9" style="7"/>
    <col min="5" max="7" width="9.140625" style="3"/>
    <col min="8" max="8" width="16.42578125" bestFit="1" customWidth="1"/>
    <col min="9" max="9" width="16.42578125" customWidth="1"/>
  </cols>
  <sheetData>
    <row r="1" spans="1:10" x14ac:dyDescent="0.25">
      <c r="A1" t="s">
        <v>17</v>
      </c>
      <c r="B1" s="5" t="s">
        <v>18</v>
      </c>
      <c r="C1" s="5" t="s">
        <v>18</v>
      </c>
      <c r="D1" s="6" t="s">
        <v>18</v>
      </c>
      <c r="E1" s="5" t="s">
        <v>18</v>
      </c>
      <c r="F1" s="5" t="s">
        <v>18</v>
      </c>
      <c r="G1" s="5" t="s">
        <v>18</v>
      </c>
      <c r="H1" s="1" t="s">
        <v>18</v>
      </c>
      <c r="I1" s="1"/>
    </row>
    <row r="2" spans="1:10" x14ac:dyDescent="0.25">
      <c r="A2" t="s">
        <v>19</v>
      </c>
      <c r="B2" s="5" t="s">
        <v>18</v>
      </c>
      <c r="C2" s="5" t="s">
        <v>18</v>
      </c>
      <c r="D2" s="6" t="s">
        <v>18</v>
      </c>
      <c r="E2" s="5"/>
      <c r="F2" s="5" t="s">
        <v>18</v>
      </c>
      <c r="G2" s="5" t="s">
        <v>18</v>
      </c>
      <c r="H2" s="1" t="s">
        <v>18</v>
      </c>
      <c r="I2" s="1"/>
    </row>
    <row r="3" spans="1:10" x14ac:dyDescent="0.25">
      <c r="A3" t="s">
        <v>0</v>
      </c>
      <c r="B3" s="3" t="s">
        <v>1</v>
      </c>
      <c r="C3" s="3" t="s">
        <v>2</v>
      </c>
      <c r="D3" s="7" t="s">
        <v>3</v>
      </c>
      <c r="E3" s="3" t="s">
        <v>4</v>
      </c>
      <c r="F3" s="3" t="s">
        <v>5</v>
      </c>
      <c r="G3" s="3" t="s">
        <v>6</v>
      </c>
      <c r="H3" t="s">
        <v>7</v>
      </c>
    </row>
    <row r="4" spans="1:10" x14ac:dyDescent="0.25">
      <c r="A4">
        <v>0</v>
      </c>
      <c r="B4" s="3">
        <v>7.26</v>
      </c>
      <c r="C4" s="3">
        <v>4.42</v>
      </c>
      <c r="D4" s="7">
        <v>4.5170000000000003</v>
      </c>
      <c r="E4" s="3">
        <v>5.1289999999999996</v>
      </c>
      <c r="F4" s="3">
        <v>5.9379999999999997</v>
      </c>
      <c r="G4" s="3">
        <v>9.6969999999999992</v>
      </c>
      <c r="H4" t="s">
        <v>8</v>
      </c>
      <c r="I4" s="3">
        <f>I8+(8.4*0.00001*7500)</f>
        <v>3.9430000000000005</v>
      </c>
      <c r="J4" s="3" t="s">
        <v>25</v>
      </c>
    </row>
    <row r="5" spans="1:10" x14ac:dyDescent="0.25">
      <c r="A5">
        <v>1.5</v>
      </c>
      <c r="B5" s="3">
        <v>5.39</v>
      </c>
      <c r="C5" s="3">
        <v>4.68</v>
      </c>
      <c r="D5" s="7">
        <v>4.109</v>
      </c>
      <c r="E5" s="3">
        <v>4.6500000000000004</v>
      </c>
      <c r="F5" s="3">
        <v>5.4409999999999998</v>
      </c>
      <c r="G5" s="3">
        <v>9.1319999999999997</v>
      </c>
      <c r="H5" t="s">
        <v>9</v>
      </c>
    </row>
    <row r="6" spans="1:10" x14ac:dyDescent="0.25">
      <c r="A6">
        <v>3.5</v>
      </c>
      <c r="B6" s="3">
        <v>5.13</v>
      </c>
      <c r="C6" s="3">
        <v>4.99</v>
      </c>
      <c r="D6" s="7">
        <v>3.95</v>
      </c>
      <c r="E6" s="3">
        <v>4.4779999999999998</v>
      </c>
      <c r="F6" s="3">
        <v>5.2069999999999999</v>
      </c>
      <c r="G6" s="3">
        <v>8.8320000000000007</v>
      </c>
      <c r="H6" t="s">
        <v>16</v>
      </c>
    </row>
    <row r="7" spans="1:10" x14ac:dyDescent="0.25">
      <c r="A7">
        <v>5.5</v>
      </c>
      <c r="B7" s="3">
        <v>4.0199999999999996</v>
      </c>
      <c r="C7" s="3">
        <v>4.01</v>
      </c>
      <c r="D7" s="7">
        <v>3.7130000000000001</v>
      </c>
      <c r="E7" s="3">
        <v>4.2249999999999996</v>
      </c>
      <c r="F7" s="3">
        <v>4.9269999999999996</v>
      </c>
      <c r="G7" s="3">
        <v>8.3970000000000002</v>
      </c>
      <c r="H7" t="s">
        <v>16</v>
      </c>
    </row>
    <row r="8" spans="1:10" x14ac:dyDescent="0.25">
      <c r="A8" s="2">
        <v>7.5</v>
      </c>
      <c r="B8" s="3">
        <v>5.3</v>
      </c>
      <c r="C8" s="3">
        <v>7.91</v>
      </c>
      <c r="D8" s="7">
        <v>3.3130000000000002</v>
      </c>
      <c r="E8" s="3">
        <v>3.7530000000000001</v>
      </c>
      <c r="F8" s="3">
        <v>4.3810000000000002</v>
      </c>
      <c r="G8" s="3">
        <v>7.5590000000000002</v>
      </c>
      <c r="H8" s="4" t="s">
        <v>22</v>
      </c>
      <c r="I8" s="2">
        <f>D8</f>
        <v>3.3130000000000002</v>
      </c>
      <c r="J8" t="str">
        <f>+H8</f>
        <v>trạm sơn đài</v>
      </c>
    </row>
    <row r="9" spans="1:10" x14ac:dyDescent="0.25">
      <c r="A9">
        <v>8.5</v>
      </c>
      <c r="B9" s="3">
        <v>5.3</v>
      </c>
      <c r="C9" s="3">
        <v>7.91</v>
      </c>
      <c r="D9" s="7">
        <v>3.3130000000000002</v>
      </c>
      <c r="E9" s="3">
        <v>3.7530000000000001</v>
      </c>
      <c r="F9" s="3">
        <v>4.3810000000000002</v>
      </c>
      <c r="G9" s="3">
        <v>7.5590000000000002</v>
      </c>
      <c r="H9" t="s">
        <v>10</v>
      </c>
    </row>
    <row r="10" spans="1:10" x14ac:dyDescent="0.25">
      <c r="A10">
        <v>9.5</v>
      </c>
      <c r="B10" s="3">
        <v>6.59</v>
      </c>
      <c r="C10" s="3">
        <v>3.9</v>
      </c>
      <c r="D10" s="7">
        <v>3.2469999999999999</v>
      </c>
      <c r="E10" s="3">
        <v>3.6880000000000002</v>
      </c>
      <c r="F10" s="3">
        <v>4.3159999999999998</v>
      </c>
      <c r="G10" s="3">
        <v>7.4969999999999999</v>
      </c>
      <c r="H10" s="4" t="s">
        <v>23</v>
      </c>
      <c r="I10" s="2">
        <f>D10</f>
        <v>3.2469999999999999</v>
      </c>
      <c r="J10" t="str">
        <f>+H10</f>
        <v>trạm Dầu Tiếng</v>
      </c>
    </row>
    <row r="11" spans="1:10" x14ac:dyDescent="0.25">
      <c r="A11">
        <v>10.5</v>
      </c>
      <c r="B11" s="3">
        <v>5.3049999999999997</v>
      </c>
      <c r="C11" s="3">
        <v>3.9749999999999996</v>
      </c>
      <c r="D11" s="7">
        <v>3.2029999999999998</v>
      </c>
      <c r="E11" s="3">
        <v>3.6429999999999998</v>
      </c>
      <c r="F11" s="3">
        <v>4.2670000000000003</v>
      </c>
      <c r="G11" s="3">
        <v>7.4119999999999999</v>
      </c>
      <c r="H11" t="s">
        <v>16</v>
      </c>
    </row>
    <row r="12" spans="1:10" x14ac:dyDescent="0.25">
      <c r="A12">
        <v>12.5</v>
      </c>
      <c r="B12" s="3">
        <v>4.0199999999999996</v>
      </c>
      <c r="C12" s="3">
        <v>4.05</v>
      </c>
      <c r="D12" s="7">
        <v>3.0179999999999998</v>
      </c>
      <c r="E12" s="3">
        <v>3.45</v>
      </c>
      <c r="F12" s="3">
        <v>4.0590000000000002</v>
      </c>
      <c r="G12" s="3">
        <v>7.1139999999999999</v>
      </c>
      <c r="H12" t="s">
        <v>16</v>
      </c>
    </row>
    <row r="13" spans="1:10" x14ac:dyDescent="0.25">
      <c r="A13">
        <v>14.5</v>
      </c>
      <c r="B13" s="3">
        <v>3.69</v>
      </c>
      <c r="C13" s="3">
        <v>3.22</v>
      </c>
      <c r="D13" s="7">
        <v>2.835</v>
      </c>
      <c r="E13" s="3">
        <v>3.246</v>
      </c>
      <c r="F13" s="3">
        <v>3.8359999999999999</v>
      </c>
      <c r="G13" s="3">
        <v>6.8840000000000003</v>
      </c>
      <c r="H13" t="s">
        <v>16</v>
      </c>
    </row>
    <row r="14" spans="1:10" x14ac:dyDescent="0.25">
      <c r="A14">
        <v>16.5</v>
      </c>
      <c r="B14" s="3">
        <v>3.32</v>
      </c>
      <c r="C14" s="3">
        <v>3.91</v>
      </c>
      <c r="D14" s="7">
        <v>2.6219999999999999</v>
      </c>
      <c r="E14" s="3">
        <v>3.008</v>
      </c>
      <c r="F14" s="3">
        <v>3.58</v>
      </c>
      <c r="G14" s="3">
        <v>6.4829999999999997</v>
      </c>
      <c r="H14" t="s">
        <v>16</v>
      </c>
    </row>
    <row r="15" spans="1:10" x14ac:dyDescent="0.25">
      <c r="A15">
        <v>18.5</v>
      </c>
      <c r="B15" s="3">
        <v>2.93</v>
      </c>
      <c r="C15" s="3">
        <v>2.74</v>
      </c>
      <c r="D15" s="7">
        <v>2.4590000000000001</v>
      </c>
      <c r="E15" s="3">
        <v>2.851</v>
      </c>
      <c r="F15" s="3">
        <v>3.431</v>
      </c>
      <c r="G15" s="3">
        <v>6.2830000000000004</v>
      </c>
      <c r="H15" t="s">
        <v>16</v>
      </c>
    </row>
    <row r="16" spans="1:10" x14ac:dyDescent="0.25">
      <c r="A16">
        <v>20.6</v>
      </c>
      <c r="B16" s="3">
        <v>2.4500000000000002</v>
      </c>
      <c r="C16" s="3">
        <v>2.21</v>
      </c>
      <c r="D16" s="7">
        <v>2.2450000000000001</v>
      </c>
      <c r="E16" s="3">
        <v>2.6349999999999998</v>
      </c>
      <c r="F16" s="3">
        <v>3.2229999999999999</v>
      </c>
      <c r="G16" s="3">
        <v>6.085</v>
      </c>
      <c r="H16" t="s">
        <v>16</v>
      </c>
    </row>
    <row r="17" spans="1:11" x14ac:dyDescent="0.25">
      <c r="A17">
        <v>22.6</v>
      </c>
      <c r="B17" s="3">
        <v>3.69</v>
      </c>
      <c r="C17" s="3">
        <v>2.8</v>
      </c>
      <c r="D17" s="7">
        <v>2.0819999999999999</v>
      </c>
      <c r="E17" s="3">
        <v>2.4449999999999998</v>
      </c>
      <c r="F17" s="3">
        <v>2.9969999999999999</v>
      </c>
      <c r="G17" s="3">
        <v>5.8250000000000002</v>
      </c>
      <c r="H17" t="s">
        <v>16</v>
      </c>
    </row>
    <row r="18" spans="1:11" x14ac:dyDescent="0.25">
      <c r="A18">
        <v>24.6</v>
      </c>
      <c r="B18" s="3">
        <v>2.85</v>
      </c>
      <c r="C18" s="3">
        <v>3.59</v>
      </c>
      <c r="D18" s="7">
        <v>1.8109999999999999</v>
      </c>
      <c r="E18" s="3">
        <v>2.0750000000000002</v>
      </c>
      <c r="F18" s="3">
        <v>2.5569999999999999</v>
      </c>
      <c r="G18" s="3">
        <v>5.5069999999999997</v>
      </c>
      <c r="H18" t="s">
        <v>16</v>
      </c>
    </row>
    <row r="19" spans="1:11" x14ac:dyDescent="0.25">
      <c r="A19">
        <v>26.6</v>
      </c>
      <c r="B19" s="3">
        <v>1.58</v>
      </c>
      <c r="C19" s="3">
        <v>1.98</v>
      </c>
      <c r="D19" s="7">
        <v>1.72</v>
      </c>
      <c r="E19" s="3">
        <v>1.899</v>
      </c>
      <c r="F19" s="3">
        <v>2.3090000000000002</v>
      </c>
      <c r="G19" s="3">
        <v>5.4089999999999998</v>
      </c>
      <c r="H19" t="s">
        <v>16</v>
      </c>
    </row>
    <row r="20" spans="1:11" x14ac:dyDescent="0.25">
      <c r="A20">
        <v>28.6</v>
      </c>
      <c r="B20" s="3">
        <v>1.78</v>
      </c>
      <c r="C20" s="3">
        <v>2.71</v>
      </c>
      <c r="D20" s="7">
        <v>1.6419999999999999</v>
      </c>
      <c r="E20" s="3">
        <v>1.7589999999999999</v>
      </c>
      <c r="F20" s="3">
        <v>2.0230000000000001</v>
      </c>
      <c r="G20" s="3">
        <v>5.2220000000000004</v>
      </c>
      <c r="H20" t="s">
        <v>16</v>
      </c>
    </row>
    <row r="21" spans="1:11" x14ac:dyDescent="0.25">
      <c r="A21">
        <v>30.6</v>
      </c>
      <c r="B21" s="3">
        <v>1.91</v>
      </c>
      <c r="C21" s="3">
        <v>1.94</v>
      </c>
      <c r="D21" s="7">
        <v>1.6379999999999999</v>
      </c>
      <c r="E21" s="3">
        <v>1.7549999999999999</v>
      </c>
      <c r="F21" s="3">
        <v>2.0169999999999999</v>
      </c>
      <c r="G21" s="3">
        <v>5.157</v>
      </c>
      <c r="H21" s="2" t="s">
        <v>21</v>
      </c>
      <c r="I21" s="2"/>
      <c r="J21" s="3">
        <f>+J24-11.15</f>
        <v>31.550000000000004</v>
      </c>
      <c r="K21" t="s">
        <v>27</v>
      </c>
    </row>
    <row r="22" spans="1:11" x14ac:dyDescent="0.25">
      <c r="A22">
        <v>34.700000000000003</v>
      </c>
      <c r="B22" s="3">
        <v>1.82</v>
      </c>
      <c r="C22" s="3">
        <v>1.79</v>
      </c>
      <c r="D22" s="7">
        <v>1.627</v>
      </c>
      <c r="E22" s="3">
        <v>1.7410000000000001</v>
      </c>
      <c r="F22" s="3">
        <v>1.994</v>
      </c>
      <c r="G22" s="3">
        <v>5.03</v>
      </c>
      <c r="H22" t="s">
        <v>29</v>
      </c>
      <c r="K22" t="s">
        <v>28</v>
      </c>
    </row>
    <row r="23" spans="1:11" x14ac:dyDescent="0.25">
      <c r="A23">
        <v>38.700000000000003</v>
      </c>
      <c r="B23" s="3">
        <v>2.48</v>
      </c>
      <c r="C23" s="3">
        <v>1.66</v>
      </c>
      <c r="D23" s="7">
        <v>1.6140000000000001</v>
      </c>
      <c r="E23" s="3">
        <v>1.7130000000000001</v>
      </c>
      <c r="F23" s="3">
        <v>1.9259999999999999</v>
      </c>
      <c r="G23" s="3">
        <v>4.8239999999999998</v>
      </c>
      <c r="H23" t="s">
        <v>20</v>
      </c>
    </row>
    <row r="24" spans="1:11" x14ac:dyDescent="0.25">
      <c r="A24">
        <v>42.7</v>
      </c>
      <c r="B24" s="3">
        <v>1.47</v>
      </c>
      <c r="C24" s="3">
        <v>1.48</v>
      </c>
      <c r="D24" s="7">
        <v>1.5920000000000001</v>
      </c>
      <c r="E24" s="3">
        <v>1.6819999999999999</v>
      </c>
      <c r="F24" s="3">
        <v>1.873</v>
      </c>
      <c r="G24" s="3">
        <v>4.53</v>
      </c>
      <c r="H24" s="4" t="s">
        <v>24</v>
      </c>
      <c r="I24" s="2">
        <f>D24</f>
        <v>1.5920000000000001</v>
      </c>
      <c r="J24" s="2">
        <f>+A24</f>
        <v>42.7</v>
      </c>
    </row>
    <row r="25" spans="1:11" x14ac:dyDescent="0.25">
      <c r="A25">
        <v>46.7</v>
      </c>
      <c r="B25" s="3">
        <v>1.08</v>
      </c>
      <c r="C25" s="3">
        <v>1.49</v>
      </c>
      <c r="D25" s="7">
        <v>1.5629999999999999</v>
      </c>
      <c r="E25" s="3">
        <v>1.647</v>
      </c>
      <c r="F25" s="3">
        <v>1.8380000000000001</v>
      </c>
      <c r="G25" s="3">
        <v>4.2930000000000001</v>
      </c>
      <c r="H25" t="s">
        <v>16</v>
      </c>
    </row>
    <row r="26" spans="1:11" x14ac:dyDescent="0.25">
      <c r="A26">
        <v>50.7</v>
      </c>
      <c r="B26" s="3">
        <v>1.68</v>
      </c>
      <c r="C26" s="3">
        <v>2.76</v>
      </c>
      <c r="D26" s="7">
        <v>1.5449999999999999</v>
      </c>
      <c r="E26" s="3">
        <v>1.629</v>
      </c>
      <c r="F26" s="3">
        <v>1.825</v>
      </c>
      <c r="G26" s="3">
        <v>4.1289999999999996</v>
      </c>
      <c r="H26" t="s">
        <v>16</v>
      </c>
    </row>
    <row r="27" spans="1:11" x14ac:dyDescent="0.25">
      <c r="A27">
        <v>54.8</v>
      </c>
      <c r="B27" s="3">
        <v>1.43</v>
      </c>
      <c r="C27" s="3">
        <v>2.23</v>
      </c>
      <c r="D27" s="7">
        <v>1.5469999999999999</v>
      </c>
      <c r="E27" s="3">
        <v>1.6220000000000001</v>
      </c>
      <c r="F27" s="3">
        <v>1.8009999999999999</v>
      </c>
      <c r="G27" s="3">
        <v>3.7890000000000001</v>
      </c>
      <c r="H27" t="s">
        <v>16</v>
      </c>
    </row>
    <row r="28" spans="1:11" x14ac:dyDescent="0.25">
      <c r="A28">
        <v>58.8</v>
      </c>
      <c r="B28" s="3">
        <v>2.3199999999999998</v>
      </c>
      <c r="C28" s="3">
        <v>2.2599999999999998</v>
      </c>
      <c r="D28" s="7">
        <v>1.538</v>
      </c>
      <c r="E28" s="3">
        <v>1.607</v>
      </c>
      <c r="F28" s="3">
        <v>1.77</v>
      </c>
      <c r="G28" s="3">
        <v>3.5270000000000001</v>
      </c>
      <c r="H28" t="s">
        <v>16</v>
      </c>
      <c r="J28">
        <f>J24-J21</f>
        <v>11.149999999999999</v>
      </c>
    </row>
    <row r="29" spans="1:11" x14ac:dyDescent="0.25">
      <c r="A29">
        <v>62.8</v>
      </c>
      <c r="B29" s="3">
        <v>0.78</v>
      </c>
      <c r="C29" s="3">
        <v>2.73</v>
      </c>
      <c r="D29" s="7">
        <v>1.5189999999999999</v>
      </c>
      <c r="E29" s="3">
        <v>1.581</v>
      </c>
      <c r="F29" s="3">
        <v>1.738</v>
      </c>
      <c r="G29" s="3">
        <v>3.355</v>
      </c>
      <c r="H29" t="s">
        <v>16</v>
      </c>
    </row>
    <row r="30" spans="1:11" x14ac:dyDescent="0.25">
      <c r="A30">
        <v>66.8</v>
      </c>
      <c r="B30" s="3">
        <v>1.64</v>
      </c>
      <c r="C30" s="3">
        <v>2.67</v>
      </c>
      <c r="D30" s="7">
        <v>1.5129999999999999</v>
      </c>
      <c r="E30" s="3">
        <v>1.587</v>
      </c>
      <c r="F30" s="3">
        <v>1.7250000000000001</v>
      </c>
      <c r="G30" s="3">
        <v>2.972</v>
      </c>
      <c r="H30" t="s">
        <v>16</v>
      </c>
    </row>
    <row r="31" spans="1:11" x14ac:dyDescent="0.25">
      <c r="A31">
        <v>70.8</v>
      </c>
      <c r="B31" s="3">
        <v>1.67</v>
      </c>
      <c r="C31" s="3">
        <v>1.35</v>
      </c>
      <c r="D31" s="7">
        <v>1.5249999999999999</v>
      </c>
      <c r="E31" s="3">
        <v>1.5920000000000001</v>
      </c>
      <c r="F31" s="3">
        <v>1.718</v>
      </c>
      <c r="G31" s="3">
        <v>2.8039999999999998</v>
      </c>
      <c r="H31" t="s">
        <v>11</v>
      </c>
    </row>
    <row r="32" spans="1:11" x14ac:dyDescent="0.25">
      <c r="A32">
        <v>71.8</v>
      </c>
      <c r="B32" s="3">
        <v>1.71</v>
      </c>
      <c r="C32" s="3">
        <v>1.46</v>
      </c>
      <c r="D32" s="7">
        <v>1.5409999999999999</v>
      </c>
      <c r="E32" s="3">
        <v>1.601</v>
      </c>
      <c r="F32" s="3">
        <v>1.7170000000000001</v>
      </c>
      <c r="G32" s="3">
        <v>2.7829999999999999</v>
      </c>
      <c r="H32" t="s">
        <v>16</v>
      </c>
    </row>
    <row r="33" spans="1:9" x14ac:dyDescent="0.25">
      <c r="A33">
        <v>73.8</v>
      </c>
      <c r="B33" s="3">
        <v>2.64</v>
      </c>
      <c r="C33" s="3">
        <v>2.4300000000000002</v>
      </c>
      <c r="D33" s="7">
        <v>1.5489999999999999</v>
      </c>
      <c r="E33" s="3">
        <v>1.603</v>
      </c>
      <c r="F33" s="3">
        <v>1.7090000000000001</v>
      </c>
      <c r="G33" s="3">
        <v>2.6890000000000001</v>
      </c>
      <c r="H33" t="s">
        <v>16</v>
      </c>
    </row>
    <row r="34" spans="1:9" x14ac:dyDescent="0.25">
      <c r="A34">
        <v>75.900000000000006</v>
      </c>
      <c r="B34" s="3">
        <v>0.88</v>
      </c>
      <c r="C34" s="3">
        <v>2.67</v>
      </c>
      <c r="D34" s="7">
        <v>1.5469999999999999</v>
      </c>
      <c r="E34" s="3">
        <v>1.597</v>
      </c>
      <c r="F34" s="3">
        <v>1.6950000000000001</v>
      </c>
      <c r="G34" s="3">
        <v>2.5920000000000001</v>
      </c>
      <c r="H34" t="s">
        <v>12</v>
      </c>
    </row>
    <row r="35" spans="1:9" x14ac:dyDescent="0.25">
      <c r="A35">
        <v>80.900000000000006</v>
      </c>
      <c r="B35" s="3">
        <v>1.81</v>
      </c>
      <c r="C35" s="3">
        <v>2.58</v>
      </c>
      <c r="D35" s="7">
        <v>1.552</v>
      </c>
      <c r="E35" s="3">
        <v>1.5920000000000001</v>
      </c>
      <c r="F35" s="3">
        <v>1.667</v>
      </c>
      <c r="G35" s="3">
        <v>2.4609999999999999</v>
      </c>
      <c r="H35" t="s">
        <v>16</v>
      </c>
    </row>
    <row r="36" spans="1:9" x14ac:dyDescent="0.25">
      <c r="A36">
        <v>84.9</v>
      </c>
      <c r="B36" s="3">
        <v>1.51</v>
      </c>
      <c r="C36" s="3">
        <v>1.91</v>
      </c>
      <c r="D36" s="7">
        <v>1.58</v>
      </c>
      <c r="E36" s="3">
        <v>1.613</v>
      </c>
      <c r="F36" s="3">
        <v>1.6779999999999999</v>
      </c>
      <c r="G36" s="3">
        <v>2.3929999999999998</v>
      </c>
      <c r="H36" t="s">
        <v>16</v>
      </c>
    </row>
    <row r="37" spans="1:9" x14ac:dyDescent="0.25">
      <c r="A37">
        <v>86.9</v>
      </c>
      <c r="B37" s="3">
        <v>1.95</v>
      </c>
      <c r="C37" s="3">
        <v>1.68</v>
      </c>
      <c r="D37" s="7">
        <v>1.587</v>
      </c>
      <c r="E37" s="3">
        <v>1.6180000000000001</v>
      </c>
      <c r="F37" s="3">
        <v>1.6779999999999999</v>
      </c>
      <c r="G37" s="3">
        <v>2.35</v>
      </c>
    </row>
    <row r="38" spans="1:9" x14ac:dyDescent="0.25">
      <c r="A38">
        <v>87.9</v>
      </c>
      <c r="B38" s="3">
        <v>2.11</v>
      </c>
      <c r="C38" s="3">
        <v>2.0699999999999998</v>
      </c>
      <c r="D38" s="7">
        <v>1.5920000000000001</v>
      </c>
      <c r="E38" s="3">
        <v>1.6220000000000001</v>
      </c>
      <c r="F38" s="3">
        <v>1.679</v>
      </c>
      <c r="G38" s="3">
        <v>2.3330000000000002</v>
      </c>
      <c r="H38" t="s">
        <v>13</v>
      </c>
    </row>
    <row r="39" spans="1:9" x14ac:dyDescent="0.25">
      <c r="A39">
        <v>91.9</v>
      </c>
      <c r="B39" s="3">
        <v>3.15</v>
      </c>
      <c r="C39" s="3">
        <v>2.2000000000000002</v>
      </c>
      <c r="D39" s="7">
        <v>1.6020000000000001</v>
      </c>
      <c r="E39" s="3">
        <v>1.627</v>
      </c>
      <c r="F39" s="3">
        <v>1.677</v>
      </c>
      <c r="G39" s="3">
        <v>2.2559999999999998</v>
      </c>
      <c r="H39" t="s">
        <v>16</v>
      </c>
    </row>
    <row r="40" spans="1:9" x14ac:dyDescent="0.25">
      <c r="A40">
        <v>93.8</v>
      </c>
      <c r="B40" s="3">
        <v>1.63</v>
      </c>
      <c r="C40" s="3">
        <v>2.2799999999999998</v>
      </c>
      <c r="D40" s="7">
        <v>1.603</v>
      </c>
      <c r="E40" s="3">
        <v>1.6259999999999999</v>
      </c>
      <c r="F40" s="3">
        <v>1.6719999999999999</v>
      </c>
      <c r="G40" s="3">
        <v>2.2400000000000002</v>
      </c>
      <c r="H40" t="s">
        <v>14</v>
      </c>
    </row>
    <row r="41" spans="1:9" s="2" customFormat="1" x14ac:dyDescent="0.25">
      <c r="A41" s="2">
        <v>97</v>
      </c>
      <c r="B41" s="3">
        <v>1.79</v>
      </c>
      <c r="C41" s="3">
        <v>2.0699999999999998</v>
      </c>
      <c r="D41" s="7">
        <v>1.623</v>
      </c>
      <c r="E41" s="3">
        <v>1.64</v>
      </c>
      <c r="F41" s="3">
        <v>1.6739999999999999</v>
      </c>
      <c r="G41" s="3">
        <v>2.1779999999999999</v>
      </c>
      <c r="H41" s="4" t="s">
        <v>26</v>
      </c>
      <c r="I41" s="2">
        <f>D41</f>
        <v>1.623</v>
      </c>
    </row>
    <row r="42" spans="1:9" s="2" customFormat="1" x14ac:dyDescent="0.25">
      <c r="A42" s="2">
        <v>101</v>
      </c>
      <c r="B42" s="3">
        <v>1.79</v>
      </c>
      <c r="C42" s="3">
        <v>2.0699999999999998</v>
      </c>
      <c r="D42" s="7">
        <v>1.623</v>
      </c>
      <c r="E42" s="3">
        <v>1.64</v>
      </c>
      <c r="F42" s="3">
        <v>1.6739999999999999</v>
      </c>
      <c r="G42" s="3">
        <v>2.1779999999999999</v>
      </c>
      <c r="H42" s="2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MN_SSG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Thao</dc:creator>
  <cp:lastModifiedBy>Cong Nguyen Dinh</cp:lastModifiedBy>
  <dcterms:created xsi:type="dcterms:W3CDTF">2025-10-06T03:06:33Z</dcterms:created>
  <dcterms:modified xsi:type="dcterms:W3CDTF">2025-10-07T12:35:56Z</dcterms:modified>
</cp:coreProperties>
</file>