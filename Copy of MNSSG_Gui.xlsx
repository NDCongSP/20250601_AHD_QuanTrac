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HD\PROJECT SCADA\TRANDAUTIENG\20250601_AHD_QuanTrac\PIC\"/>
    </mc:Choice>
  </mc:AlternateContent>
  <xr:revisionPtr revIDLastSave="0" documentId="8_{F27C9403-404D-4631-879E-AE70470B5826}" xr6:coauthVersionLast="47" xr6:coauthVersionMax="47" xr10:uidLastSave="{00000000-0000-0000-0000-000000000000}"/>
  <bookViews>
    <workbookView xWindow="-98" yWindow="-98" windowWidth="28996" windowHeight="15796" xr2:uid="{6F0BD5D8-8162-4346-B544-7DEEB8C67DE7}"/>
  </bookViews>
  <sheets>
    <sheet name="MN_SS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8" i="1" l="1"/>
  <c r="P10" i="1"/>
  <c r="P8" i="1"/>
  <c r="O41" i="1"/>
  <c r="O24" i="1"/>
  <c r="O10" i="1"/>
  <c r="O8" i="1"/>
  <c r="O4" i="1" s="1"/>
  <c r="P24" i="1"/>
  <c r="P21" i="1" s="1"/>
</calcChain>
</file>

<file path=xl/sharedStrings.xml><?xml version="1.0" encoding="utf-8"?>
<sst xmlns="http://schemas.openxmlformats.org/spreadsheetml/2006/main" count="74" uniqueCount="36">
  <si>
    <t>K/Cách</t>
  </si>
  <si>
    <t xml:space="preserve">Bờ phải </t>
  </si>
  <si>
    <t xml:space="preserve"> Bờ trái</t>
  </si>
  <si>
    <t>Q=50</t>
  </si>
  <si>
    <t>Q=100</t>
  </si>
  <si>
    <t>Q=200</t>
  </si>
  <si>
    <t>Q=300</t>
  </si>
  <si>
    <t>Q=400</t>
  </si>
  <si>
    <t>Q=500</t>
  </si>
  <si>
    <t>Q=600</t>
  </si>
  <si>
    <t>Q=800</t>
  </si>
  <si>
    <t>Q=1000</t>
  </si>
  <si>
    <t>Q=2800</t>
  </si>
  <si>
    <t>Vị trí</t>
  </si>
  <si>
    <t>Chân đập</t>
  </si>
  <si>
    <t>Cầu Mới</t>
  </si>
  <si>
    <t>Cầu Bến Củi</t>
  </si>
  <si>
    <t>Láng The</t>
  </si>
  <si>
    <t>Cửa sông Thị Tính</t>
  </si>
  <si>
    <t>Cầu Phú Cường</t>
  </si>
  <si>
    <t>Cửa Rạch Tra</t>
  </si>
  <si>
    <t>Cầu Phú Long</t>
  </si>
  <si>
    <t>""</t>
  </si>
  <si>
    <t>Chọn data</t>
  </si>
  <si>
    <t>x</t>
  </si>
  <si>
    <t>Hiển thị</t>
  </si>
  <si>
    <t xml:space="preserve">"" </t>
  </si>
  <si>
    <t>"" cầu thạnh an</t>
  </si>
  <si>
    <t>trạm sơn đài</t>
  </si>
  <si>
    <t>trạm Dầu Tiếng</t>
  </si>
  <si>
    <t>trạm Bến Súc</t>
  </si>
  <si>
    <t>chân đập = Sơn đài + (8.4 x 0.00001 x 7500)</t>
  </si>
  <si>
    <t>Trạm bình nhâm</t>
  </si>
  <si>
    <t>TH1 (bến súc &gt; = bình nhâm : thanh an = bến súc + (8.4 x 0.00001 x 11150)</t>
  </si>
  <si>
    <t>TH2 (bến súc &lt; bình nhâm : thanh an = bến súc - (8.4 x 0.00001 x 11150)</t>
  </si>
  <si>
    <t xml:space="preserve"> Bến Dược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</si>
</sst>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0" fillId="2" borderId="0" xfId="0" applyFill="1" applyAlignment="1">
      <alignment horizontal="center"/>
    </xf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67B6-CBE2-4C71-8A2F-FF3578F2E113}">
  <dimension ref="A1:Q42"/>
  <sheetViews>
    <sheetView tabSelected="1" topLeftCell="A10" workbookViewId="0">
      <selection activeCell="N31" sqref="N31"/>
    </sheetView>
  </sheetViews>
  <sheetFormatPr defaultRowHeight="14.25" x14ac:dyDescent="0.45"/>
  <cols>
    <col min="1" max="1" width="11.265625" customWidth="1"/>
    <col min="7" max="7" width="9.06640625" style="5"/>
    <col min="14" max="14" width="16.3984375" bestFit="1" customWidth="1"/>
    <col min="15" max="15" width="16.3984375" customWidth="1"/>
  </cols>
  <sheetData>
    <row r="1" spans="1:16" x14ac:dyDescent="0.45">
      <c r="A1" t="s">
        <v>23</v>
      </c>
      <c r="B1" s="1" t="s">
        <v>24</v>
      </c>
      <c r="C1" s="1" t="s">
        <v>24</v>
      </c>
      <c r="D1" s="1"/>
      <c r="E1" s="1" t="s">
        <v>24</v>
      </c>
      <c r="F1" s="1" t="s">
        <v>24</v>
      </c>
      <c r="G1" s="4" t="s">
        <v>24</v>
      </c>
      <c r="H1" s="1" t="s">
        <v>24</v>
      </c>
      <c r="I1" s="1"/>
      <c r="J1" s="1" t="s">
        <v>24</v>
      </c>
      <c r="K1" s="1"/>
      <c r="L1" s="1" t="s">
        <v>24</v>
      </c>
      <c r="M1" s="1" t="s">
        <v>24</v>
      </c>
      <c r="N1" s="1" t="s">
        <v>24</v>
      </c>
      <c r="O1" s="1"/>
    </row>
    <row r="2" spans="1:16" x14ac:dyDescent="0.45">
      <c r="A2" t="s">
        <v>25</v>
      </c>
      <c r="B2" s="1" t="s">
        <v>24</v>
      </c>
      <c r="C2" s="1" t="s">
        <v>24</v>
      </c>
      <c r="D2" s="1"/>
      <c r="E2" s="1"/>
      <c r="F2" s="1" t="s">
        <v>24</v>
      </c>
      <c r="G2" s="4" t="s">
        <v>24</v>
      </c>
      <c r="H2" s="1"/>
      <c r="I2" s="1"/>
      <c r="J2" s="1" t="s">
        <v>24</v>
      </c>
      <c r="K2" s="1"/>
      <c r="L2" s="1"/>
      <c r="M2" s="1" t="s">
        <v>24</v>
      </c>
      <c r="N2" s="1" t="s">
        <v>24</v>
      </c>
      <c r="O2" s="1"/>
    </row>
    <row r="3" spans="1:16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5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6" x14ac:dyDescent="0.45">
      <c r="A4">
        <v>0</v>
      </c>
      <c r="B4">
        <v>7.26</v>
      </c>
      <c r="C4">
        <v>4.42</v>
      </c>
      <c r="D4">
        <v>1.732</v>
      </c>
      <c r="E4">
        <v>2.4580000000000002</v>
      </c>
      <c r="F4">
        <v>3.6850000000000001</v>
      </c>
      <c r="G4" s="5">
        <v>4.5170000000000003</v>
      </c>
      <c r="H4">
        <v>5.1289999999999996</v>
      </c>
      <c r="I4">
        <v>5.5730000000000004</v>
      </c>
      <c r="J4">
        <v>5.9379999999999997</v>
      </c>
      <c r="K4">
        <v>6.5090000000000003</v>
      </c>
      <c r="L4">
        <v>7.0209999999999999</v>
      </c>
      <c r="M4">
        <v>9.6969999999999992</v>
      </c>
      <c r="N4" t="s">
        <v>14</v>
      </c>
      <c r="O4" s="3">
        <f>O8+(8.4*0.00001*7500)</f>
        <v>3.9430000000000005</v>
      </c>
      <c r="P4" s="3" t="s">
        <v>31</v>
      </c>
    </row>
    <row r="5" spans="1:16" x14ac:dyDescent="0.45">
      <c r="A5">
        <v>1.5</v>
      </c>
      <c r="B5">
        <v>5.39</v>
      </c>
      <c r="C5">
        <v>4.68</v>
      </c>
      <c r="D5">
        <v>1.663</v>
      </c>
      <c r="E5">
        <v>2.2999999999999998</v>
      </c>
      <c r="F5">
        <v>3.3929999999999998</v>
      </c>
      <c r="G5" s="5">
        <v>4.109</v>
      </c>
      <c r="H5">
        <v>4.6500000000000004</v>
      </c>
      <c r="I5">
        <v>5.0830000000000002</v>
      </c>
      <c r="J5">
        <v>5.4409999999999998</v>
      </c>
      <c r="K5">
        <v>5.9729999999999999</v>
      </c>
      <c r="L5">
        <v>6.4390000000000001</v>
      </c>
      <c r="M5">
        <v>9.1319999999999997</v>
      </c>
      <c r="N5" t="s">
        <v>15</v>
      </c>
    </row>
    <row r="6" spans="1:16" x14ac:dyDescent="0.45">
      <c r="A6">
        <v>3.5</v>
      </c>
      <c r="B6">
        <v>5.13</v>
      </c>
      <c r="C6">
        <v>4.99</v>
      </c>
      <c r="D6">
        <v>1.625</v>
      </c>
      <c r="E6">
        <v>2.194</v>
      </c>
      <c r="F6">
        <v>3.2269999999999999</v>
      </c>
      <c r="G6" s="5">
        <v>3.95</v>
      </c>
      <c r="H6">
        <v>4.4779999999999998</v>
      </c>
      <c r="I6">
        <v>4.875</v>
      </c>
      <c r="J6">
        <v>5.2069999999999999</v>
      </c>
      <c r="K6">
        <v>5.7290000000000001</v>
      </c>
      <c r="L6">
        <v>6.173</v>
      </c>
      <c r="M6">
        <v>8.8320000000000007</v>
      </c>
      <c r="N6" t="s">
        <v>22</v>
      </c>
    </row>
    <row r="7" spans="1:16" x14ac:dyDescent="0.45">
      <c r="A7">
        <v>5.5</v>
      </c>
      <c r="B7">
        <v>4.0199999999999996</v>
      </c>
      <c r="C7">
        <v>4.01</v>
      </c>
      <c r="D7">
        <v>1.5489999999999999</v>
      </c>
      <c r="E7">
        <v>1.9810000000000001</v>
      </c>
      <c r="F7">
        <v>2.992</v>
      </c>
      <c r="G7" s="5">
        <v>3.7130000000000001</v>
      </c>
      <c r="H7">
        <v>4.2249999999999996</v>
      </c>
      <c r="I7">
        <v>4.6059999999999999</v>
      </c>
      <c r="J7">
        <v>4.9269999999999996</v>
      </c>
      <c r="K7">
        <v>5.43</v>
      </c>
      <c r="L7">
        <v>5.8540000000000001</v>
      </c>
      <c r="M7">
        <v>8.3970000000000002</v>
      </c>
      <c r="N7" t="s">
        <v>22</v>
      </c>
    </row>
    <row r="8" spans="1:16" x14ac:dyDescent="0.45">
      <c r="A8" s="2">
        <v>7.5</v>
      </c>
      <c r="B8" s="2">
        <v>5.3</v>
      </c>
      <c r="C8" s="2">
        <v>7.91</v>
      </c>
      <c r="D8" s="2">
        <v>1.5</v>
      </c>
      <c r="E8" s="2">
        <v>1.829</v>
      </c>
      <c r="F8" s="2">
        <v>2.6789999999999998</v>
      </c>
      <c r="G8" s="6">
        <v>3.3130000000000002</v>
      </c>
      <c r="H8" s="2">
        <v>3.7530000000000001</v>
      </c>
      <c r="I8" s="2">
        <v>4.093</v>
      </c>
      <c r="J8" s="2">
        <v>4.3810000000000002</v>
      </c>
      <c r="K8" s="2">
        <v>4.8339999999999996</v>
      </c>
      <c r="L8" s="2">
        <v>5.2130000000000001</v>
      </c>
      <c r="M8" s="2">
        <v>7.5590000000000002</v>
      </c>
      <c r="N8" s="2" t="s">
        <v>28</v>
      </c>
      <c r="O8" s="2">
        <f>G8</f>
        <v>3.3130000000000002</v>
      </c>
      <c r="P8" t="str">
        <f>+N8</f>
        <v>trạm sơn đài</v>
      </c>
    </row>
    <row r="9" spans="1:16" x14ac:dyDescent="0.45">
      <c r="A9">
        <v>8.5</v>
      </c>
      <c r="B9">
        <v>5.3</v>
      </c>
      <c r="C9">
        <v>7.91</v>
      </c>
      <c r="D9">
        <v>1.5</v>
      </c>
      <c r="E9">
        <v>1.829</v>
      </c>
      <c r="F9">
        <v>2.6789999999999998</v>
      </c>
      <c r="G9" s="5">
        <v>3.3130000000000002</v>
      </c>
      <c r="H9">
        <v>3.7530000000000001</v>
      </c>
      <c r="I9">
        <v>4.093</v>
      </c>
      <c r="J9">
        <v>4.3810000000000002</v>
      </c>
      <c r="K9">
        <v>4.8339999999999996</v>
      </c>
      <c r="L9">
        <v>5.2130000000000001</v>
      </c>
      <c r="M9">
        <v>7.5590000000000002</v>
      </c>
      <c r="N9" t="s">
        <v>16</v>
      </c>
    </row>
    <row r="10" spans="1:16" x14ac:dyDescent="0.45">
      <c r="A10">
        <v>9.5</v>
      </c>
      <c r="B10">
        <v>6.59</v>
      </c>
      <c r="C10">
        <v>3.9</v>
      </c>
      <c r="D10">
        <v>1.4870000000000001</v>
      </c>
      <c r="E10">
        <v>1.7889999999999999</v>
      </c>
      <c r="F10">
        <v>2.6150000000000002</v>
      </c>
      <c r="G10" s="5">
        <v>3.2469999999999999</v>
      </c>
      <c r="H10">
        <v>3.6880000000000002</v>
      </c>
      <c r="I10">
        <v>4.0289999999999999</v>
      </c>
      <c r="J10">
        <v>4.3159999999999998</v>
      </c>
      <c r="K10">
        <v>4.7679999999999998</v>
      </c>
      <c r="L10">
        <v>5.1479999999999997</v>
      </c>
      <c r="M10">
        <v>7.4969999999999999</v>
      </c>
      <c r="N10" s="2" t="s">
        <v>29</v>
      </c>
      <c r="O10" s="2">
        <f>G10</f>
        <v>3.2469999999999999</v>
      </c>
      <c r="P10" t="str">
        <f>+N10</f>
        <v>trạm Dầu Tiếng</v>
      </c>
    </row>
    <row r="11" spans="1:16" x14ac:dyDescent="0.45">
      <c r="A11">
        <v>10.5</v>
      </c>
      <c r="B11">
        <v>5.3049999999999997</v>
      </c>
      <c r="C11">
        <v>3.9749999999999996</v>
      </c>
      <c r="D11">
        <v>1.48</v>
      </c>
      <c r="E11">
        <v>1.774</v>
      </c>
      <c r="F11">
        <v>2.5720000000000001</v>
      </c>
      <c r="G11" s="5">
        <v>3.2029999999999998</v>
      </c>
      <c r="H11">
        <v>3.6429999999999998</v>
      </c>
      <c r="I11">
        <v>3.9809999999999999</v>
      </c>
      <c r="J11">
        <v>4.2670000000000003</v>
      </c>
      <c r="K11">
        <v>4.7160000000000002</v>
      </c>
      <c r="L11">
        <v>5.09</v>
      </c>
      <c r="M11">
        <v>7.4119999999999999</v>
      </c>
      <c r="N11" t="s">
        <v>22</v>
      </c>
    </row>
    <row r="12" spans="1:16" x14ac:dyDescent="0.45">
      <c r="A12">
        <v>12.5</v>
      </c>
      <c r="B12">
        <v>4.0199999999999996</v>
      </c>
      <c r="C12">
        <v>4.05</v>
      </c>
      <c r="D12">
        <v>1.4550000000000001</v>
      </c>
      <c r="E12">
        <v>1.7130000000000001</v>
      </c>
      <c r="F12">
        <v>2.4159999999999999</v>
      </c>
      <c r="G12" s="5">
        <v>3.0179999999999998</v>
      </c>
      <c r="H12">
        <v>3.45</v>
      </c>
      <c r="I12">
        <v>3.782</v>
      </c>
      <c r="J12">
        <v>4.0590000000000002</v>
      </c>
      <c r="K12">
        <v>4.4960000000000004</v>
      </c>
      <c r="L12">
        <v>4.8550000000000004</v>
      </c>
      <c r="M12">
        <v>7.1139999999999999</v>
      </c>
      <c r="N12" t="s">
        <v>22</v>
      </c>
    </row>
    <row r="13" spans="1:16" x14ac:dyDescent="0.45">
      <c r="A13">
        <v>14.5</v>
      </c>
      <c r="B13">
        <v>3.69</v>
      </c>
      <c r="C13">
        <v>3.22</v>
      </c>
      <c r="D13">
        <v>1.4339999999999999</v>
      </c>
      <c r="E13">
        <v>1.663</v>
      </c>
      <c r="F13">
        <v>2.2709999999999999</v>
      </c>
      <c r="G13" s="5">
        <v>2.835</v>
      </c>
      <c r="H13">
        <v>3.246</v>
      </c>
      <c r="I13">
        <v>3.573</v>
      </c>
      <c r="J13">
        <v>3.8359999999999999</v>
      </c>
      <c r="K13">
        <v>4.2729999999999997</v>
      </c>
      <c r="L13">
        <v>4.63</v>
      </c>
      <c r="M13">
        <v>6.8840000000000003</v>
      </c>
      <c r="N13" t="s">
        <v>22</v>
      </c>
    </row>
    <row r="14" spans="1:16" x14ac:dyDescent="0.45">
      <c r="A14">
        <v>16.5</v>
      </c>
      <c r="B14">
        <v>3.32</v>
      </c>
      <c r="C14">
        <v>3.91</v>
      </c>
      <c r="D14">
        <v>1.427</v>
      </c>
      <c r="E14">
        <v>1.6160000000000001</v>
      </c>
      <c r="F14">
        <v>2.1320000000000001</v>
      </c>
      <c r="G14" s="5">
        <v>2.6219999999999999</v>
      </c>
      <c r="H14">
        <v>3.008</v>
      </c>
      <c r="I14">
        <v>3.3239999999999998</v>
      </c>
      <c r="J14">
        <v>3.58</v>
      </c>
      <c r="K14">
        <v>3.9940000000000002</v>
      </c>
      <c r="L14">
        <v>4.3259999999999996</v>
      </c>
      <c r="M14">
        <v>6.4829999999999997</v>
      </c>
      <c r="N14" t="s">
        <v>22</v>
      </c>
    </row>
    <row r="15" spans="1:16" x14ac:dyDescent="0.45">
      <c r="A15">
        <v>18.5</v>
      </c>
      <c r="B15">
        <v>2.93</v>
      </c>
      <c r="C15">
        <v>2.74</v>
      </c>
      <c r="D15">
        <v>1.419</v>
      </c>
      <c r="E15">
        <v>1.5740000000000001</v>
      </c>
      <c r="F15">
        <v>2.0150000000000001</v>
      </c>
      <c r="G15" s="5">
        <v>2.4590000000000001</v>
      </c>
      <c r="H15">
        <v>2.851</v>
      </c>
      <c r="I15">
        <v>3.1739999999999999</v>
      </c>
      <c r="J15">
        <v>3.431</v>
      </c>
      <c r="K15">
        <v>3.8330000000000002</v>
      </c>
      <c r="L15">
        <v>4.1500000000000004</v>
      </c>
      <c r="M15">
        <v>6.2830000000000004</v>
      </c>
      <c r="N15" t="s">
        <v>22</v>
      </c>
    </row>
    <row r="16" spans="1:16" x14ac:dyDescent="0.45">
      <c r="A16">
        <v>20.6</v>
      </c>
      <c r="B16">
        <v>2.4500000000000002</v>
      </c>
      <c r="C16">
        <v>2.21</v>
      </c>
      <c r="D16">
        <v>1.4079999999999999</v>
      </c>
      <c r="E16">
        <v>1.5249999999999999</v>
      </c>
      <c r="F16">
        <v>1.8620000000000001</v>
      </c>
      <c r="G16" s="5">
        <v>2.2450000000000001</v>
      </c>
      <c r="H16">
        <v>2.6349999999999998</v>
      </c>
      <c r="I16">
        <v>2.9609999999999999</v>
      </c>
      <c r="J16">
        <v>3.2229999999999999</v>
      </c>
      <c r="K16">
        <v>3.6139999999999999</v>
      </c>
      <c r="L16">
        <v>3.9239999999999999</v>
      </c>
      <c r="M16">
        <v>6.085</v>
      </c>
      <c r="N16" t="s">
        <v>22</v>
      </c>
    </row>
    <row r="17" spans="1:17" x14ac:dyDescent="0.45">
      <c r="A17">
        <v>22.6</v>
      </c>
      <c r="B17">
        <v>3.69</v>
      </c>
      <c r="C17">
        <v>2.8</v>
      </c>
      <c r="D17">
        <v>1.399</v>
      </c>
      <c r="E17">
        <v>1.502</v>
      </c>
      <c r="F17">
        <v>1.758</v>
      </c>
      <c r="G17" s="5">
        <v>2.0819999999999999</v>
      </c>
      <c r="H17">
        <v>2.4449999999999998</v>
      </c>
      <c r="I17">
        <v>2.738</v>
      </c>
      <c r="J17">
        <v>2.9969999999999999</v>
      </c>
      <c r="K17">
        <v>3.3679999999999999</v>
      </c>
      <c r="L17">
        <v>3.6560000000000001</v>
      </c>
      <c r="M17">
        <v>5.8250000000000002</v>
      </c>
      <c r="N17" t="s">
        <v>22</v>
      </c>
    </row>
    <row r="18" spans="1:17" x14ac:dyDescent="0.45">
      <c r="A18">
        <v>24.6</v>
      </c>
      <c r="B18">
        <v>2.85</v>
      </c>
      <c r="C18">
        <v>3.59</v>
      </c>
      <c r="D18">
        <v>1.391</v>
      </c>
      <c r="E18">
        <v>1.468</v>
      </c>
      <c r="F18">
        <v>1.61</v>
      </c>
      <c r="G18" s="5">
        <v>1.8109999999999999</v>
      </c>
      <c r="H18">
        <v>2.0750000000000002</v>
      </c>
      <c r="I18">
        <v>2.3359999999999999</v>
      </c>
      <c r="J18">
        <v>2.5569999999999999</v>
      </c>
      <c r="K18">
        <v>2.9009999999999998</v>
      </c>
      <c r="L18">
        <v>3.1819999999999999</v>
      </c>
      <c r="M18">
        <v>5.5069999999999997</v>
      </c>
      <c r="N18" t="s">
        <v>22</v>
      </c>
    </row>
    <row r="19" spans="1:17" x14ac:dyDescent="0.45">
      <c r="A19">
        <v>26.6</v>
      </c>
      <c r="B19">
        <v>1.58</v>
      </c>
      <c r="C19">
        <v>1.98</v>
      </c>
      <c r="D19">
        <v>1.385</v>
      </c>
      <c r="E19">
        <v>1.456</v>
      </c>
      <c r="F19">
        <v>1.57</v>
      </c>
      <c r="G19" s="5">
        <v>1.72</v>
      </c>
      <c r="H19">
        <v>1.899</v>
      </c>
      <c r="I19">
        <v>2.1120000000000001</v>
      </c>
      <c r="J19">
        <v>2.3090000000000002</v>
      </c>
      <c r="K19">
        <v>2.6720000000000002</v>
      </c>
      <c r="L19">
        <v>2.99</v>
      </c>
      <c r="M19">
        <v>5.4089999999999998</v>
      </c>
      <c r="N19" t="s">
        <v>22</v>
      </c>
    </row>
    <row r="20" spans="1:17" x14ac:dyDescent="0.45">
      <c r="A20">
        <v>28.6</v>
      </c>
      <c r="B20">
        <v>1.78</v>
      </c>
      <c r="C20">
        <v>2.71</v>
      </c>
      <c r="D20">
        <v>1.379</v>
      </c>
      <c r="E20">
        <v>1.4430000000000001</v>
      </c>
      <c r="F20">
        <v>1.5289999999999999</v>
      </c>
      <c r="G20" s="5">
        <v>1.6419999999999999</v>
      </c>
      <c r="H20">
        <v>1.7589999999999999</v>
      </c>
      <c r="I20">
        <v>1.8859999999999999</v>
      </c>
      <c r="J20">
        <v>2.0230000000000001</v>
      </c>
      <c r="K20">
        <v>2.391</v>
      </c>
      <c r="L20">
        <v>2.7530000000000001</v>
      </c>
      <c r="M20">
        <v>5.2220000000000004</v>
      </c>
      <c r="N20" t="s">
        <v>22</v>
      </c>
    </row>
    <row r="21" spans="1:17" x14ac:dyDescent="0.45">
      <c r="A21">
        <v>30.6</v>
      </c>
      <c r="B21">
        <v>1.91</v>
      </c>
      <c r="C21">
        <v>1.94</v>
      </c>
      <c r="D21">
        <v>1.3759999999999999</v>
      </c>
      <c r="E21">
        <v>1.4410000000000001</v>
      </c>
      <c r="F21">
        <v>1.5269999999999999</v>
      </c>
      <c r="G21" s="5">
        <v>1.6379999999999999</v>
      </c>
      <c r="H21">
        <v>1.7549999999999999</v>
      </c>
      <c r="I21">
        <v>1.881</v>
      </c>
      <c r="J21">
        <v>2.0169999999999999</v>
      </c>
      <c r="K21">
        <v>2.3730000000000002</v>
      </c>
      <c r="L21">
        <v>2.726</v>
      </c>
      <c r="M21">
        <v>5.157</v>
      </c>
      <c r="N21" s="2" t="s">
        <v>27</v>
      </c>
      <c r="O21" s="2"/>
      <c r="P21" s="3">
        <f>+P24-11.15</f>
        <v>31.550000000000004</v>
      </c>
      <c r="Q21" t="s">
        <v>33</v>
      </c>
    </row>
    <row r="22" spans="1:17" x14ac:dyDescent="0.45">
      <c r="A22">
        <v>34.700000000000003</v>
      </c>
      <c r="B22">
        <v>1.82</v>
      </c>
      <c r="C22">
        <v>1.79</v>
      </c>
      <c r="D22">
        <v>1.369</v>
      </c>
      <c r="E22">
        <v>1.4359999999999999</v>
      </c>
      <c r="F22">
        <v>1.52</v>
      </c>
      <c r="G22" s="5">
        <v>1.627</v>
      </c>
      <c r="H22">
        <v>1.7410000000000001</v>
      </c>
      <c r="I22">
        <v>1.863</v>
      </c>
      <c r="J22">
        <v>1.994</v>
      </c>
      <c r="K22">
        <v>2.3260000000000001</v>
      </c>
      <c r="L22">
        <v>2.6659999999999999</v>
      </c>
      <c r="M22">
        <v>5.03</v>
      </c>
      <c r="N22" t="s">
        <v>35</v>
      </c>
      <c r="Q22" t="s">
        <v>34</v>
      </c>
    </row>
    <row r="23" spans="1:17" x14ac:dyDescent="0.45">
      <c r="A23">
        <v>38.700000000000003</v>
      </c>
      <c r="B23">
        <v>2.48</v>
      </c>
      <c r="C23">
        <v>1.66</v>
      </c>
      <c r="D23">
        <v>1.349</v>
      </c>
      <c r="E23">
        <v>1.413</v>
      </c>
      <c r="F23">
        <v>1.5129999999999999</v>
      </c>
      <c r="G23" s="5">
        <v>1.6140000000000001</v>
      </c>
      <c r="H23">
        <v>1.7130000000000001</v>
      </c>
      <c r="I23">
        <v>1.8149999999999999</v>
      </c>
      <c r="J23">
        <v>1.9259999999999999</v>
      </c>
      <c r="K23">
        <v>2.1880000000000002</v>
      </c>
      <c r="L23">
        <v>2.516</v>
      </c>
      <c r="M23">
        <v>4.8239999999999998</v>
      </c>
      <c r="N23" t="s">
        <v>26</v>
      </c>
    </row>
    <row r="24" spans="1:17" x14ac:dyDescent="0.45">
      <c r="A24">
        <v>42.7</v>
      </c>
      <c r="B24">
        <v>1.47</v>
      </c>
      <c r="C24">
        <v>1.48</v>
      </c>
      <c r="D24">
        <v>1.34</v>
      </c>
      <c r="E24">
        <v>1.3939999999999999</v>
      </c>
      <c r="F24">
        <v>1.4990000000000001</v>
      </c>
      <c r="G24" s="5">
        <v>1.5920000000000001</v>
      </c>
      <c r="H24">
        <v>1.6819999999999999</v>
      </c>
      <c r="I24">
        <v>1.774</v>
      </c>
      <c r="J24">
        <v>1.873</v>
      </c>
      <c r="K24">
        <v>2.097</v>
      </c>
      <c r="L24">
        <v>2.3420000000000001</v>
      </c>
      <c r="M24">
        <v>4.53</v>
      </c>
      <c r="N24" s="2" t="s">
        <v>30</v>
      </c>
      <c r="O24" s="2">
        <f>G24</f>
        <v>1.5920000000000001</v>
      </c>
      <c r="P24" s="2">
        <f>+A24</f>
        <v>42.7</v>
      </c>
    </row>
    <row r="25" spans="1:17" x14ac:dyDescent="0.45">
      <c r="A25">
        <v>46.7</v>
      </c>
      <c r="B25">
        <v>1.08</v>
      </c>
      <c r="C25">
        <v>1.49</v>
      </c>
      <c r="D25">
        <v>1.3320000000000001</v>
      </c>
      <c r="E25">
        <v>1.383</v>
      </c>
      <c r="F25">
        <v>1.4790000000000001</v>
      </c>
      <c r="G25" s="5">
        <v>1.5629999999999999</v>
      </c>
      <c r="H25">
        <v>1.647</v>
      </c>
      <c r="I25">
        <v>1.74</v>
      </c>
      <c r="J25">
        <v>1.8380000000000001</v>
      </c>
      <c r="K25">
        <v>2.0310000000000001</v>
      </c>
      <c r="L25">
        <v>2.2469999999999999</v>
      </c>
      <c r="M25">
        <v>4.2930000000000001</v>
      </c>
      <c r="N25" t="s">
        <v>22</v>
      </c>
    </row>
    <row r="26" spans="1:17" x14ac:dyDescent="0.45">
      <c r="A26">
        <v>50.7</v>
      </c>
      <c r="B26">
        <v>1.68</v>
      </c>
      <c r="C26">
        <v>2.76</v>
      </c>
      <c r="D26">
        <v>1.31</v>
      </c>
      <c r="E26">
        <v>1.3680000000000001</v>
      </c>
      <c r="F26">
        <v>1.4470000000000001</v>
      </c>
      <c r="G26" s="5">
        <v>1.5449999999999999</v>
      </c>
      <c r="H26">
        <v>1.629</v>
      </c>
      <c r="I26">
        <v>1.7310000000000001</v>
      </c>
      <c r="J26">
        <v>1.825</v>
      </c>
      <c r="K26">
        <v>1.996</v>
      </c>
      <c r="L26">
        <v>2.1760000000000002</v>
      </c>
      <c r="M26">
        <v>4.1289999999999996</v>
      </c>
      <c r="N26" t="s">
        <v>22</v>
      </c>
    </row>
    <row r="27" spans="1:17" x14ac:dyDescent="0.45">
      <c r="A27">
        <v>54.8</v>
      </c>
      <c r="B27">
        <v>1.43</v>
      </c>
      <c r="C27">
        <v>2.23</v>
      </c>
      <c r="D27">
        <v>1.3120000000000001</v>
      </c>
      <c r="E27">
        <v>1.357</v>
      </c>
      <c r="F27">
        <v>1.4570000000000001</v>
      </c>
      <c r="G27" s="5">
        <v>1.5469999999999999</v>
      </c>
      <c r="H27">
        <v>1.6220000000000001</v>
      </c>
      <c r="I27">
        <v>1.7130000000000001</v>
      </c>
      <c r="J27">
        <v>1.8009999999999999</v>
      </c>
      <c r="K27">
        <v>1.9490000000000001</v>
      </c>
      <c r="L27">
        <v>2.0960000000000001</v>
      </c>
      <c r="M27">
        <v>3.7890000000000001</v>
      </c>
      <c r="N27" t="s">
        <v>22</v>
      </c>
    </row>
    <row r="28" spans="1:17" x14ac:dyDescent="0.45">
      <c r="A28">
        <v>58.8</v>
      </c>
      <c r="B28">
        <v>2.3199999999999998</v>
      </c>
      <c r="C28">
        <v>2.2599999999999998</v>
      </c>
      <c r="D28">
        <v>1.327</v>
      </c>
      <c r="E28">
        <v>1.365</v>
      </c>
      <c r="F28">
        <v>1.4550000000000001</v>
      </c>
      <c r="G28" s="5">
        <v>1.538</v>
      </c>
      <c r="H28">
        <v>1.607</v>
      </c>
      <c r="I28">
        <v>1.6879999999999999</v>
      </c>
      <c r="J28">
        <v>1.77</v>
      </c>
      <c r="K28">
        <v>1.9079999999999999</v>
      </c>
      <c r="L28">
        <v>2.04</v>
      </c>
      <c r="M28">
        <v>3.5270000000000001</v>
      </c>
      <c r="N28" t="s">
        <v>22</v>
      </c>
      <c r="P28">
        <f>P24-P21</f>
        <v>11.149999999999999</v>
      </c>
    </row>
    <row r="29" spans="1:17" x14ac:dyDescent="0.45">
      <c r="A29">
        <v>62.8</v>
      </c>
      <c r="B29">
        <v>0.78</v>
      </c>
      <c r="C29">
        <v>2.73</v>
      </c>
      <c r="D29">
        <v>1.341</v>
      </c>
      <c r="E29">
        <v>1.3720000000000001</v>
      </c>
      <c r="F29">
        <v>1.446</v>
      </c>
      <c r="G29" s="5">
        <v>1.5189999999999999</v>
      </c>
      <c r="H29">
        <v>1.581</v>
      </c>
      <c r="I29">
        <v>1.655</v>
      </c>
      <c r="J29">
        <v>1.738</v>
      </c>
      <c r="K29">
        <v>1.887</v>
      </c>
      <c r="L29">
        <v>2.0049999999999999</v>
      </c>
      <c r="M29">
        <v>3.355</v>
      </c>
      <c r="N29" t="s">
        <v>22</v>
      </c>
    </row>
    <row r="30" spans="1:17" x14ac:dyDescent="0.45">
      <c r="A30">
        <v>66.8</v>
      </c>
      <c r="B30">
        <v>1.64</v>
      </c>
      <c r="C30">
        <v>2.67</v>
      </c>
      <c r="D30">
        <v>1.357</v>
      </c>
      <c r="E30">
        <v>1.38</v>
      </c>
      <c r="F30">
        <v>1.4410000000000001</v>
      </c>
      <c r="G30" s="5">
        <v>1.5129999999999999</v>
      </c>
      <c r="H30">
        <v>1.587</v>
      </c>
      <c r="I30">
        <v>1.655</v>
      </c>
      <c r="J30">
        <v>1.7250000000000001</v>
      </c>
      <c r="K30">
        <v>1.8560000000000001</v>
      </c>
      <c r="L30">
        <v>1.964</v>
      </c>
      <c r="M30">
        <v>2.972</v>
      </c>
      <c r="N30" t="s">
        <v>22</v>
      </c>
    </row>
    <row r="31" spans="1:17" x14ac:dyDescent="0.45">
      <c r="A31">
        <v>70.8</v>
      </c>
      <c r="B31">
        <v>1.67</v>
      </c>
      <c r="C31">
        <v>1.35</v>
      </c>
      <c r="D31">
        <v>1.383</v>
      </c>
      <c r="E31">
        <v>1.4039999999999999</v>
      </c>
      <c r="F31">
        <v>1.46</v>
      </c>
      <c r="G31" s="5">
        <v>1.5249999999999999</v>
      </c>
      <c r="H31">
        <v>1.5920000000000001</v>
      </c>
      <c r="I31">
        <v>1.6539999999999999</v>
      </c>
      <c r="J31">
        <v>1.718</v>
      </c>
      <c r="K31">
        <v>1.841</v>
      </c>
      <c r="L31">
        <v>1.944</v>
      </c>
      <c r="M31">
        <v>2.8039999999999998</v>
      </c>
      <c r="N31" t="s">
        <v>17</v>
      </c>
    </row>
    <row r="32" spans="1:17" x14ac:dyDescent="0.45">
      <c r="A32">
        <v>71.8</v>
      </c>
      <c r="B32">
        <v>1.71</v>
      </c>
      <c r="C32">
        <v>1.46</v>
      </c>
      <c r="D32">
        <v>1.4119999999999999</v>
      </c>
      <c r="E32">
        <v>1.431</v>
      </c>
      <c r="F32">
        <v>1.4830000000000001</v>
      </c>
      <c r="G32" s="5">
        <v>1.5409999999999999</v>
      </c>
      <c r="H32">
        <v>1.601</v>
      </c>
      <c r="I32">
        <v>1.6579999999999999</v>
      </c>
      <c r="J32">
        <v>1.7170000000000001</v>
      </c>
      <c r="K32">
        <v>1.833</v>
      </c>
      <c r="L32">
        <v>1.9350000000000001</v>
      </c>
      <c r="M32">
        <v>2.7829999999999999</v>
      </c>
      <c r="N32" t="s">
        <v>22</v>
      </c>
    </row>
    <row r="33" spans="1:15" x14ac:dyDescent="0.45">
      <c r="A33">
        <v>73.8</v>
      </c>
      <c r="B33">
        <v>2.64</v>
      </c>
      <c r="C33">
        <v>2.4300000000000002</v>
      </c>
      <c r="D33">
        <v>1.4330000000000001</v>
      </c>
      <c r="E33">
        <v>1.45</v>
      </c>
      <c r="F33">
        <v>1.4970000000000001</v>
      </c>
      <c r="G33" s="5">
        <v>1.5489999999999999</v>
      </c>
      <c r="H33">
        <v>1.603</v>
      </c>
      <c r="I33">
        <v>1.655</v>
      </c>
      <c r="J33">
        <v>1.7090000000000001</v>
      </c>
      <c r="K33">
        <v>1.8169999999999999</v>
      </c>
      <c r="L33">
        <v>1.915</v>
      </c>
      <c r="M33">
        <v>2.6890000000000001</v>
      </c>
      <c r="N33" t="s">
        <v>22</v>
      </c>
    </row>
    <row r="34" spans="1:15" x14ac:dyDescent="0.45">
      <c r="A34">
        <v>75.900000000000006</v>
      </c>
      <c r="B34">
        <v>0.88</v>
      </c>
      <c r="C34">
        <v>2.67</v>
      </c>
      <c r="D34">
        <v>1.44</v>
      </c>
      <c r="E34">
        <v>1.456</v>
      </c>
      <c r="F34">
        <v>1.4990000000000001</v>
      </c>
      <c r="G34" s="5">
        <v>1.5469999999999999</v>
      </c>
      <c r="H34">
        <v>1.597</v>
      </c>
      <c r="I34">
        <v>1.645</v>
      </c>
      <c r="J34">
        <v>1.6950000000000001</v>
      </c>
      <c r="K34">
        <v>1.796</v>
      </c>
      <c r="L34">
        <v>1.891</v>
      </c>
      <c r="M34">
        <v>2.5920000000000001</v>
      </c>
      <c r="N34" t="s">
        <v>18</v>
      </c>
    </row>
    <row r="35" spans="1:15" x14ac:dyDescent="0.45">
      <c r="A35">
        <v>80.900000000000006</v>
      </c>
      <c r="B35">
        <v>1.81</v>
      </c>
      <c r="C35">
        <v>2.58</v>
      </c>
      <c r="D35">
        <v>1.468</v>
      </c>
      <c r="E35">
        <v>1.474</v>
      </c>
      <c r="F35">
        <v>1.51</v>
      </c>
      <c r="G35" s="5">
        <v>1.552</v>
      </c>
      <c r="H35">
        <v>1.5920000000000001</v>
      </c>
      <c r="I35">
        <v>1.6279999999999999</v>
      </c>
      <c r="J35">
        <v>1.667</v>
      </c>
      <c r="K35">
        <v>1.7549999999999999</v>
      </c>
      <c r="L35">
        <v>1.853</v>
      </c>
      <c r="M35">
        <v>2.4609999999999999</v>
      </c>
      <c r="N35" t="s">
        <v>22</v>
      </c>
    </row>
    <row r="36" spans="1:15" x14ac:dyDescent="0.45">
      <c r="A36">
        <v>84.9</v>
      </c>
      <c r="B36">
        <v>1.51</v>
      </c>
      <c r="C36">
        <v>1.91</v>
      </c>
      <c r="D36">
        <v>1.49</v>
      </c>
      <c r="E36">
        <v>1.5049999999999999</v>
      </c>
      <c r="F36">
        <v>1.5429999999999999</v>
      </c>
      <c r="G36" s="5">
        <v>1.58</v>
      </c>
      <c r="H36">
        <v>1.613</v>
      </c>
      <c r="I36">
        <v>1.6439999999999999</v>
      </c>
      <c r="J36">
        <v>1.6779999999999999</v>
      </c>
      <c r="K36">
        <v>1.756</v>
      </c>
      <c r="L36">
        <v>1.845</v>
      </c>
      <c r="M36">
        <v>2.3929999999999998</v>
      </c>
      <c r="N36" t="s">
        <v>22</v>
      </c>
    </row>
    <row r="37" spans="1:15" x14ac:dyDescent="0.45">
      <c r="A37">
        <v>86.9</v>
      </c>
      <c r="B37">
        <v>1.95</v>
      </c>
      <c r="C37">
        <v>1.68</v>
      </c>
      <c r="D37">
        <v>1.5029999999999999</v>
      </c>
      <c r="E37">
        <v>1.5169999999999999</v>
      </c>
      <c r="F37">
        <v>1.5529999999999999</v>
      </c>
      <c r="G37" s="5">
        <v>1.587</v>
      </c>
      <c r="H37">
        <v>1.6180000000000001</v>
      </c>
      <c r="I37">
        <v>1.6459999999999999</v>
      </c>
      <c r="J37">
        <v>1.6779999999999999</v>
      </c>
      <c r="K37">
        <v>1.752</v>
      </c>
      <c r="L37">
        <v>1.8380000000000001</v>
      </c>
      <c r="M37">
        <v>2.35</v>
      </c>
    </row>
    <row r="38" spans="1:15" x14ac:dyDescent="0.45">
      <c r="A38">
        <v>87.9</v>
      </c>
      <c r="B38">
        <v>2.11</v>
      </c>
      <c r="C38">
        <v>2.0699999999999998</v>
      </c>
      <c r="D38">
        <v>1.51</v>
      </c>
      <c r="E38">
        <v>1.524</v>
      </c>
      <c r="F38">
        <v>1.5589999999999999</v>
      </c>
      <c r="G38" s="5">
        <v>1.5920000000000001</v>
      </c>
      <c r="H38">
        <v>1.6220000000000001</v>
      </c>
      <c r="I38">
        <v>1.6479999999999999</v>
      </c>
      <c r="J38">
        <v>1.679</v>
      </c>
      <c r="K38">
        <v>1.7509999999999999</v>
      </c>
      <c r="L38">
        <v>1.8340000000000001</v>
      </c>
      <c r="M38">
        <v>2.3330000000000002</v>
      </c>
      <c r="N38" t="s">
        <v>19</v>
      </c>
    </row>
    <row r="39" spans="1:15" x14ac:dyDescent="0.45">
      <c r="A39">
        <v>91.9</v>
      </c>
      <c r="B39">
        <v>3.15</v>
      </c>
      <c r="C39">
        <v>2.2000000000000002</v>
      </c>
      <c r="D39">
        <v>1.53</v>
      </c>
      <c r="E39">
        <v>1.5429999999999999</v>
      </c>
      <c r="F39">
        <v>1.573</v>
      </c>
      <c r="G39" s="5">
        <v>1.6020000000000001</v>
      </c>
      <c r="H39">
        <v>1.627</v>
      </c>
      <c r="I39">
        <v>1.65</v>
      </c>
      <c r="J39">
        <v>1.677</v>
      </c>
      <c r="K39">
        <v>1.74</v>
      </c>
      <c r="L39">
        <v>1.8149999999999999</v>
      </c>
      <c r="M39">
        <v>2.2559999999999998</v>
      </c>
      <c r="N39" t="s">
        <v>22</v>
      </c>
    </row>
    <row r="40" spans="1:15" x14ac:dyDescent="0.45">
      <c r="A40">
        <v>93.8</v>
      </c>
      <c r="B40">
        <v>1.63</v>
      </c>
      <c r="C40">
        <v>2.2799999999999998</v>
      </c>
      <c r="D40">
        <v>1.536</v>
      </c>
      <c r="E40">
        <v>1.5469999999999999</v>
      </c>
      <c r="F40">
        <v>1.5760000000000001</v>
      </c>
      <c r="G40" s="5">
        <v>1.603</v>
      </c>
      <c r="H40">
        <v>1.6259999999999999</v>
      </c>
      <c r="I40">
        <v>1.647</v>
      </c>
      <c r="J40">
        <v>1.6719999999999999</v>
      </c>
      <c r="K40">
        <v>1.732</v>
      </c>
      <c r="L40">
        <v>1.8009999999999999</v>
      </c>
      <c r="M40">
        <v>2.2400000000000002</v>
      </c>
      <c r="N40" t="s">
        <v>20</v>
      </c>
    </row>
    <row r="41" spans="1:15" s="2" customFormat="1" x14ac:dyDescent="0.45">
      <c r="A41" s="2">
        <v>97</v>
      </c>
      <c r="B41" s="2">
        <v>1.79</v>
      </c>
      <c r="C41" s="2">
        <v>2.0699999999999998</v>
      </c>
      <c r="D41" s="2">
        <v>1.577</v>
      </c>
      <c r="E41" s="2">
        <v>1.5820000000000001</v>
      </c>
      <c r="F41" s="2">
        <v>1.6020000000000001</v>
      </c>
      <c r="G41" s="6">
        <v>1.623</v>
      </c>
      <c r="H41" s="2">
        <v>1.64</v>
      </c>
      <c r="I41" s="2">
        <v>1.6559999999999999</v>
      </c>
      <c r="J41" s="2">
        <v>1.6739999999999999</v>
      </c>
      <c r="K41" s="2">
        <v>1.7170000000000001</v>
      </c>
      <c r="L41" s="2">
        <v>1.7649999999999999</v>
      </c>
      <c r="M41" s="2">
        <v>2.1779999999999999</v>
      </c>
      <c r="N41" s="2" t="s">
        <v>32</v>
      </c>
      <c r="O41" s="2">
        <f>G41</f>
        <v>1.623</v>
      </c>
    </row>
    <row r="42" spans="1:15" s="2" customFormat="1" x14ac:dyDescent="0.45">
      <c r="A42" s="2">
        <v>101</v>
      </c>
      <c r="B42" s="2">
        <v>1.79</v>
      </c>
      <c r="C42" s="2">
        <v>2.0699999999999998</v>
      </c>
      <c r="D42" s="2">
        <v>1.577</v>
      </c>
      <c r="E42" s="2">
        <v>1.5820000000000001</v>
      </c>
      <c r="F42" s="2">
        <v>1.6020000000000001</v>
      </c>
      <c r="G42" s="6">
        <v>1.623</v>
      </c>
      <c r="H42" s="2">
        <v>1.64</v>
      </c>
      <c r="I42" s="2">
        <v>1.6559999999999999</v>
      </c>
      <c r="J42" s="2">
        <v>1.6739999999999999</v>
      </c>
      <c r="K42" s="2">
        <v>1.7170000000000001</v>
      </c>
      <c r="L42" s="2">
        <v>1.7649999999999999</v>
      </c>
      <c r="M42" s="2">
        <v>2.1779999999999999</v>
      </c>
      <c r="N4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MN_SSG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</dc:creator>
  <cp:lastModifiedBy>Nguyen Chi Trong</cp:lastModifiedBy>
  <dcterms:created xsi:type="dcterms:W3CDTF">2025-10-06T03:06:33Z</dcterms:created>
  <dcterms:modified xsi:type="dcterms:W3CDTF">2025-10-07T04:03:49Z</dcterms:modified>
</cp:coreProperties>
</file>