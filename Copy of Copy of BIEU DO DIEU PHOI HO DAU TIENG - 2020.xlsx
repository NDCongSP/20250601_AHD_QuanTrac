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HD\PROJECT SCADA\TRANDAUTIENG\"/>
    </mc:Choice>
  </mc:AlternateContent>
  <xr:revisionPtr revIDLastSave="0" documentId="8_{B07105B0-AA79-42BC-9FE0-CF222E054C69}" xr6:coauthVersionLast="47" xr6:coauthVersionMax="47" xr10:uidLastSave="{00000000-0000-0000-0000-000000000000}"/>
  <bookViews>
    <workbookView xWindow="-98" yWindow="-98" windowWidth="28996" windowHeight="15796" tabRatio="917" firstSheet="1" activeTab="1" xr2:uid="{7AB86488-AE01-4759-9962-673314C084EE}"/>
  </bookViews>
  <sheets>
    <sheet name="Kangatang" sheetId="112" state="veryHidden" r:id=""/>
    <sheet name="bang so lieu (sua) (4)" sheetId="108" r:id="rId1"/>
    <sheet name="so sanh lien ho (4)" sheetId="109" r:id="rId2"/>
    <sheet name="BĐ ĐP CHON 2020+OK" sheetId="111" r:id="rId3"/>
    <sheet name="bang so lieu (sua) (3)" sheetId="106" r:id="rId4"/>
    <sheet name="so sanh lien ho (3)" sheetId="107" r:id="rId5"/>
  </sheets>
  <definedNames>
    <definedName name="_Fill" hidden="1">#REF!</definedName>
    <definedName name="bang_dp">#REF!</definedName>
    <definedName name="_xlnm.Print_Area" localSheetId="4">'bang so lieu (sua) (3)'!#REF!</definedName>
    <definedName name="_xlnm.Print_Area" localSheetId="1">'bang so lieu (sua) (4)'!#REF!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08" l="1"/>
  <c r="P2" i="108"/>
  <c r="N2" i="108"/>
  <c r="L2" i="108"/>
  <c r="J2" i="108"/>
  <c r="H2" i="108"/>
  <c r="F2" i="108"/>
  <c r="D2" i="108"/>
  <c r="G62" i="108"/>
  <c r="H62" i="108"/>
  <c r="G63" i="108"/>
  <c r="H63" i="108"/>
  <c r="G64" i="108"/>
  <c r="H64" i="108"/>
  <c r="G65" i="108"/>
  <c r="H65" i="108"/>
  <c r="G66" i="108"/>
  <c r="H66" i="108"/>
  <c r="G67" i="108"/>
  <c r="H67" i="108"/>
  <c r="G68" i="108"/>
  <c r="H68" i="108"/>
  <c r="G69" i="108"/>
  <c r="H69" i="108"/>
  <c r="G70" i="108"/>
  <c r="H70" i="108"/>
  <c r="G71" i="108"/>
  <c r="H71" i="108"/>
  <c r="G72" i="108"/>
  <c r="H72" i="108"/>
  <c r="G73" i="108"/>
  <c r="H73" i="108"/>
  <c r="G74" i="108"/>
  <c r="H74" i="108"/>
  <c r="G75" i="108"/>
  <c r="H75" i="108"/>
  <c r="G76" i="108"/>
  <c r="H76" i="108"/>
  <c r="G77" i="108"/>
  <c r="H77" i="108"/>
  <c r="G78" i="108"/>
  <c r="H78" i="108"/>
  <c r="G79" i="108"/>
  <c r="H79" i="108"/>
  <c r="G80" i="108"/>
  <c r="H80" i="108"/>
  <c r="G81" i="108"/>
  <c r="H81" i="108"/>
  <c r="G82" i="108"/>
  <c r="H82" i="108"/>
  <c r="H61" i="108"/>
  <c r="G61" i="108"/>
  <c r="C23" i="108"/>
  <c r="G23" i="108"/>
  <c r="I23" i="108" s="1"/>
  <c r="E23" i="108"/>
  <c r="K23" i="108"/>
  <c r="M23" i="108"/>
  <c r="O23" i="108"/>
  <c r="S23" i="108"/>
  <c r="Q23" i="108"/>
  <c r="T23" i="108"/>
  <c r="W23" i="108"/>
  <c r="Y23" i="108"/>
  <c r="Z23" i="108"/>
  <c r="AC23" i="108"/>
  <c r="AF23" i="108"/>
  <c r="AH23" i="108"/>
  <c r="AI23" i="108"/>
  <c r="AJ23" i="108"/>
  <c r="AL23" i="108"/>
  <c r="AO23" i="108"/>
  <c r="C24" i="108"/>
  <c r="E24" i="108" s="1"/>
  <c r="G24" i="108"/>
  <c r="K24" i="108"/>
  <c r="I24" i="108"/>
  <c r="M24" i="108"/>
  <c r="O24" i="108"/>
  <c r="Q24" i="108" s="1"/>
  <c r="S24" i="108"/>
  <c r="Q38" i="108"/>
  <c r="U23" i="108"/>
  <c r="S38" i="108"/>
  <c r="V23" i="108"/>
  <c r="U38" i="108"/>
  <c r="X23" i="108" s="1"/>
  <c r="V38" i="108"/>
  <c r="X38" i="108"/>
  <c r="AA23" i="108" s="1"/>
  <c r="Y38" i="108"/>
  <c r="AB23" i="108"/>
  <c r="AA38" i="108"/>
  <c r="AD23" i="108"/>
  <c r="AB38" i="108"/>
  <c r="AE23" i="108" s="1"/>
  <c r="AD38" i="108"/>
  <c r="AG23" i="108"/>
  <c r="AE38" i="108"/>
  <c r="AG38" i="108"/>
  <c r="AH38" i="108"/>
  <c r="AK23" i="108"/>
  <c r="AJ38" i="108"/>
  <c r="AM23" i="108" s="1"/>
  <c r="AK38" i="108"/>
  <c r="AN23" i="108"/>
  <c r="Q39" i="108"/>
  <c r="S39" i="108"/>
  <c r="U39" i="108"/>
  <c r="V39" i="108"/>
  <c r="X39" i="108"/>
  <c r="Y39" i="108"/>
  <c r="AA39" i="108"/>
  <c r="AB39" i="108"/>
  <c r="AD39" i="108"/>
  <c r="AE39" i="108"/>
  <c r="AG39" i="108"/>
  <c r="AH39" i="108"/>
  <c r="AJ39" i="108"/>
  <c r="AK39" i="108"/>
  <c r="F7" i="106"/>
  <c r="G7" i="106"/>
  <c r="F8" i="106"/>
  <c r="G8" i="106"/>
  <c r="B7" i="106"/>
  <c r="D7" i="106" s="1"/>
  <c r="E7" i="106" s="1"/>
  <c r="C7" i="106"/>
  <c r="J7" i="106"/>
  <c r="H7" i="106" s="1"/>
  <c r="I7" i="106" s="1"/>
  <c r="N7" i="106"/>
  <c r="O7" i="106" s="1"/>
  <c r="R7" i="106"/>
  <c r="P7" i="106"/>
  <c r="Q7" i="106"/>
  <c r="S7" i="106"/>
  <c r="P22" i="106"/>
  <c r="T7" i="106" s="1"/>
  <c r="R22" i="106"/>
  <c r="U7" i="106"/>
  <c r="V7" i="106"/>
  <c r="T22" i="106"/>
  <c r="W7" i="106"/>
  <c r="U22" i="106"/>
  <c r="X7" i="106"/>
  <c r="Y7" i="106"/>
  <c r="W22" i="106"/>
  <c r="Z7" i="106"/>
  <c r="X22" i="106"/>
  <c r="AA7" i="106"/>
  <c r="AB7" i="106"/>
  <c r="Z22" i="106"/>
  <c r="AC7" i="106"/>
  <c r="AA22" i="106"/>
  <c r="AD7" i="106" s="1"/>
  <c r="AE7" i="106"/>
  <c r="AC22" i="106"/>
  <c r="AF7" i="106"/>
  <c r="AD22" i="106"/>
  <c r="AG7" i="106"/>
  <c r="AH7" i="106"/>
  <c r="AF22" i="106"/>
  <c r="AI7" i="106" s="1"/>
  <c r="AG22" i="106"/>
  <c r="AJ7" i="106" s="1"/>
  <c r="AK7" i="106"/>
  <c r="AI22" i="106"/>
  <c r="AL7" i="106"/>
  <c r="AJ22" i="106"/>
  <c r="AM7" i="106" s="1"/>
  <c r="AN7" i="106"/>
  <c r="B8" i="106"/>
  <c r="C8" i="106" s="1"/>
  <c r="J8" i="106"/>
  <c r="L8" i="106"/>
  <c r="M8" i="106"/>
  <c r="K8" i="106"/>
  <c r="N8" i="106"/>
  <c r="O8" i="106" s="1"/>
  <c r="R8" i="106"/>
  <c r="P23" i="106"/>
  <c r="R23" i="106"/>
  <c r="T23" i="106"/>
  <c r="U23" i="106"/>
  <c r="W23" i="106"/>
  <c r="X23" i="106"/>
  <c r="Z23" i="106"/>
  <c r="AA23" i="106"/>
  <c r="AC23" i="106"/>
  <c r="AD23" i="106"/>
  <c r="AF23" i="106"/>
  <c r="AG23" i="106"/>
  <c r="AI23" i="106"/>
  <c r="AJ23" i="106"/>
  <c r="J37" i="106"/>
  <c r="L37" i="106"/>
  <c r="J38" i="106"/>
  <c r="L38" i="106"/>
  <c r="J39" i="106"/>
  <c r="L39" i="106"/>
  <c r="J40" i="106"/>
  <c r="L40" i="106"/>
  <c r="J41" i="106"/>
  <c r="L41" i="106"/>
  <c r="J42" i="106"/>
  <c r="L42" i="106"/>
  <c r="J43" i="106"/>
  <c r="L43" i="106"/>
  <c r="J44" i="106"/>
  <c r="L44" i="106"/>
  <c r="J45" i="106"/>
  <c r="L45" i="106"/>
  <c r="J46" i="106"/>
  <c r="L46" i="106"/>
  <c r="J47" i="106"/>
  <c r="L47" i="106"/>
  <c r="J48" i="106"/>
  <c r="L48" i="106"/>
  <c r="J49" i="106"/>
  <c r="L49" i="106"/>
  <c r="J50" i="106"/>
  <c r="L50" i="106"/>
  <c r="J51" i="106"/>
  <c r="L51" i="106"/>
  <c r="J52" i="106"/>
  <c r="L52" i="106"/>
  <c r="J53" i="106"/>
  <c r="L53" i="106"/>
  <c r="J54" i="106"/>
  <c r="L54" i="106"/>
  <c r="J55" i="106"/>
  <c r="L55" i="106"/>
  <c r="J56" i="106"/>
  <c r="L56" i="106"/>
  <c r="J57" i="106"/>
  <c r="L57" i="106"/>
  <c r="J58" i="106"/>
  <c r="L58" i="106"/>
  <c r="H8" i="106"/>
  <c r="I8" i="106" s="1"/>
  <c r="D8" i="106"/>
  <c r="E8" i="106"/>
  <c r="K7" i="106" l="1"/>
  <c r="L7" i="106"/>
  <c r="M7" i="106" s="1"/>
  <c r="P8" i="106"/>
  <c r="Q8" i="10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IWER</author>
  </authors>
  <commentList>
    <comment ref="B3" authorId="0" shapeId="0" xr:uid="{928BFA68-0874-4DED-B936-38CE9DF0066A}">
      <text>
        <r>
          <rPr>
            <b/>
            <sz val="9"/>
            <color indexed="81"/>
            <rFont val="Tahoma"/>
            <family val="2"/>
          </rPr>
          <t>IWER:</t>
        </r>
        <r>
          <rPr>
            <sz val="9"/>
            <color indexed="81"/>
            <rFont val="Tahoma"/>
            <family val="2"/>
          </rPr>
          <t xml:space="preserve">
số liệu này đã chỉnh sửa đưa vào BDDP năm 2016 </t>
        </r>
      </text>
    </comment>
    <comment ref="D3" authorId="0" shapeId="0" xr:uid="{07161134-3212-4106-8DAA-8F7C4EFFFD0E}">
      <text>
        <r>
          <rPr>
            <b/>
            <sz val="9"/>
            <color indexed="81"/>
            <rFont val="Tahoma"/>
            <family val="2"/>
          </rPr>
          <t>IWER:</t>
        </r>
        <r>
          <rPr>
            <sz val="9"/>
            <color indexed="81"/>
            <rFont val="Tahoma"/>
            <family val="2"/>
          </rPr>
          <t xml:space="preserve">
nhập tay</t>
        </r>
      </text>
    </comment>
    <comment ref="B23" authorId="0" shapeId="0" xr:uid="{2771DD05-EDC6-4712-9AAA-348F20E68EBD}">
      <text>
        <r>
          <rPr>
            <b/>
            <sz val="9"/>
            <color indexed="81"/>
            <rFont val="Tahoma"/>
            <family val="2"/>
          </rPr>
          <t>IWER:</t>
        </r>
        <r>
          <rPr>
            <sz val="9"/>
            <color indexed="81"/>
            <rFont val="Tahoma"/>
            <family val="2"/>
          </rPr>
          <t xml:space="preserve">
số liệu này đã chỉnh sửa đưa vào BDDP năm 2016 </t>
        </r>
      </text>
    </comment>
    <comment ref="D23" authorId="0" shapeId="0" xr:uid="{A4642F10-0C2D-45D8-93B4-FE209152E40D}">
      <text>
        <r>
          <rPr>
            <b/>
            <sz val="9"/>
            <color indexed="81"/>
            <rFont val="Tahoma"/>
            <family val="2"/>
          </rPr>
          <t>IWER:</t>
        </r>
        <r>
          <rPr>
            <sz val="9"/>
            <color indexed="81"/>
            <rFont val="Tahoma"/>
            <family val="2"/>
          </rPr>
          <t xml:space="preserve">
nhập tay</t>
        </r>
      </text>
    </comment>
    <comment ref="B29" authorId="0" shapeId="0" xr:uid="{748911D4-A4E0-47F2-AD5A-9696B7E7658F}">
      <text>
        <r>
          <rPr>
            <b/>
            <sz val="9"/>
            <color indexed="81"/>
            <rFont val="Tahoma"/>
            <family val="2"/>
          </rPr>
          <t>IWER:</t>
        </r>
        <r>
          <rPr>
            <sz val="9"/>
            <color indexed="81"/>
            <rFont val="Tahoma"/>
            <family val="2"/>
          </rPr>
          <t xml:space="preserve">
bảng số liệu này e lấy trong điều tiết nhiều năm</t>
        </r>
      </text>
    </comment>
    <comment ref="B33" authorId="0" shapeId="0" xr:uid="{5BE73B96-C110-460A-82BE-443DD67CC59D}">
      <text>
        <r>
          <rPr>
            <b/>
            <sz val="9"/>
            <color indexed="81"/>
            <rFont val="Tahoma"/>
            <family val="2"/>
          </rPr>
          <t>IWER:</t>
        </r>
        <r>
          <rPr>
            <sz val="9"/>
            <color indexed="81"/>
            <rFont val="Tahoma"/>
            <family val="2"/>
          </rPr>
          <t xml:space="preserve">
số liệu này e lấy trong file điều tiết nhiều năm, sl gốc chưa sửa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IWER</author>
  </authors>
  <commentList>
    <comment ref="A7" authorId="0" shapeId="0" xr:uid="{E463B48B-82DD-4AF6-9E35-DCFE27E1BA84}">
      <text>
        <r>
          <rPr>
            <b/>
            <sz val="9"/>
            <color indexed="81"/>
            <rFont val="Tahoma"/>
            <family val="2"/>
          </rPr>
          <t>IWER:</t>
        </r>
        <r>
          <rPr>
            <sz val="9"/>
            <color indexed="81"/>
            <rFont val="Tahoma"/>
            <family val="2"/>
          </rPr>
          <t xml:space="preserve">
số liệu này đã chỉnh sửa đưa vào BDDP năm 2016 </t>
        </r>
      </text>
    </comment>
    <comment ref="A13" authorId="0" shapeId="0" xr:uid="{6223C6A4-6F34-4B01-8A88-CD106F19A427}">
      <text>
        <r>
          <rPr>
            <b/>
            <sz val="9"/>
            <color indexed="81"/>
            <rFont val="Tahoma"/>
            <family val="2"/>
          </rPr>
          <t>IWER:</t>
        </r>
        <r>
          <rPr>
            <sz val="9"/>
            <color indexed="81"/>
            <rFont val="Tahoma"/>
            <family val="2"/>
          </rPr>
          <t xml:space="preserve">
bảng số liệu này e lấy trong điều tiết nhiều năm</t>
        </r>
      </text>
    </comment>
    <comment ref="A17" authorId="0" shapeId="0" xr:uid="{B91CE73B-550B-4CBC-8020-48B563B65010}">
      <text>
        <r>
          <rPr>
            <b/>
            <sz val="9"/>
            <color indexed="81"/>
            <rFont val="Tahoma"/>
            <family val="2"/>
          </rPr>
          <t>IWER:</t>
        </r>
        <r>
          <rPr>
            <sz val="9"/>
            <color indexed="81"/>
            <rFont val="Tahoma"/>
            <family val="2"/>
          </rPr>
          <t xml:space="preserve">
số liệu này e lấy trong file điều tiết nhiều năm, sl gốc chưa sửa</t>
        </r>
      </text>
    </comment>
  </commentList>
</comments>
</file>

<file path=xl/sharedStrings.xml><?xml version="1.0" encoding="utf-8"?>
<sst xmlns="http://schemas.openxmlformats.org/spreadsheetml/2006/main" count="103" uniqueCount="48">
  <si>
    <t>MNC</t>
  </si>
  <si>
    <t>MNDBT</t>
  </si>
  <si>
    <t>MNTK</t>
  </si>
  <si>
    <t>HĐĐ</t>
  </si>
  <si>
    <t>HKT</t>
  </si>
  <si>
    <t>Thời gian</t>
  </si>
  <si>
    <t>Mực nước chết</t>
  </si>
  <si>
    <t>Mực nước dâng bình thường</t>
  </si>
  <si>
    <t>Mực nước Thiết kế</t>
  </si>
  <si>
    <t>Cao trình đỉnh đập</t>
  </si>
  <si>
    <t>Mực nước Kiểm tra</t>
  </si>
  <si>
    <t>Đường phòng phá hoại</t>
  </si>
  <si>
    <t>Đường hạn chế cấp nước</t>
  </si>
  <si>
    <t>ĐPPH 85% mới</t>
  </si>
  <si>
    <t>HCCN 85% mới</t>
  </si>
  <si>
    <t>Đường phòng lũ</t>
  </si>
  <si>
    <t>16/10</t>
  </si>
  <si>
    <t>21/12</t>
  </si>
  <si>
    <t>ĐPPH QT vận hành liên hồ</t>
  </si>
  <si>
    <t>ĐHCCN QT vận hành liên hồ</t>
  </si>
  <si>
    <t>ĐPL</t>
  </si>
  <si>
    <t>ĐPPH</t>
  </si>
  <si>
    <t>ĐHCCN</t>
  </si>
  <si>
    <t>số liệu gốc, P=85%</t>
  </si>
  <si>
    <t>ĐPPH 85% mới chon 2016</t>
  </si>
  <si>
    <t>HCCN 85% mới chon 2016</t>
  </si>
  <si>
    <t>Tung độ ĐPPH và đường HCCN được lựa chọn</t>
  </si>
  <si>
    <t>Theo QTVH liên hồ QĐ 1895</t>
  </si>
  <si>
    <t>Chênh lệch so với QTVH liên hồ QĐ 1895</t>
  </si>
  <si>
    <t>Thời gian (tháng)</t>
  </si>
  <si>
    <t>16/7</t>
  </si>
  <si>
    <t>16/8</t>
  </si>
  <si>
    <t>16/9</t>
  </si>
  <si>
    <t>21/01</t>
  </si>
  <si>
    <t>21/02</t>
  </si>
  <si>
    <t>21/03</t>
  </si>
  <si>
    <t>21/04</t>
  </si>
  <si>
    <t>21/05</t>
  </si>
  <si>
    <t>21/06</t>
  </si>
  <si>
    <t>30/06</t>
  </si>
  <si>
    <r>
      <t>số liệu gốc, đều 50 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/s</t>
    </r>
  </si>
  <si>
    <t>lấy đường liên hồ</t>
  </si>
  <si>
    <t>MNKT</t>
  </si>
  <si>
    <t>CTĐĐ</t>
  </si>
  <si>
    <t>SỐ LIỆU ĐỂ VẼ BIỂU ĐỒ MỨC NƯỚC</t>
  </si>
  <si>
    <t>Năm 2009</t>
  </si>
  <si>
    <t>Năm 2010</t>
  </si>
  <si>
    <t>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</si>
</sst>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08" formatCode="m/d;@"/>
  </numFmts>
  <fonts count="17" x14ac:knownFonts="1">
    <font>
      <sz val="10"/>
      <name val="Arial"/>
    </font>
    <font>
      <sz val="8"/>
      <name val="Arial"/>
      <family val="2"/>
    </font>
    <font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Times New Roman"/>
      <family val="1"/>
    </font>
    <font>
      <b/>
      <sz val="9"/>
      <color indexed="10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sz val="9"/>
      <color indexed="12"/>
      <name val="Times New Roman"/>
      <family val="1"/>
    </font>
    <font>
      <sz val="8"/>
      <color indexed="8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indexed="36"/>
      <name val="Calibri"/>
      <family val="2"/>
    </font>
    <font>
      <u/>
      <sz val="11"/>
      <color indexed="12"/>
      <name val="Calibri"/>
      <family val="2"/>
    </font>
    <font>
      <sz val="11"/>
      <color rgb="FF9C57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9"/>
      <color rgb="FFFF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208" fontId="5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/>
    <xf numFmtId="0" fontId="2" fillId="4" borderId="1" xfId="0" applyFont="1" applyFill="1" applyBorder="1"/>
    <xf numFmtId="2" fontId="2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/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16" fontId="2" fillId="0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2" fontId="7" fillId="5" borderId="0" xfId="0" applyNumberFormat="1" applyFont="1" applyFill="1" applyBorder="1" applyAlignment="1">
      <alignment horizontal="center"/>
    </xf>
    <xf numFmtId="208" fontId="5" fillId="6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208" fontId="5" fillId="7" borderId="0" xfId="0" applyNumberFormat="1" applyFont="1" applyFill="1" applyBorder="1" applyAlignment="1">
      <alignment horizontal="center"/>
    </xf>
    <xf numFmtId="2" fontId="2" fillId="7" borderId="0" xfId="0" applyNumberFormat="1" applyFont="1" applyFill="1" applyBorder="1" applyAlignment="1">
      <alignment horizontal="center"/>
    </xf>
    <xf numFmtId="2" fontId="9" fillId="7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wrapText="1"/>
    </xf>
    <xf numFmtId="2" fontId="2" fillId="6" borderId="0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7" fillId="20" borderId="0" xfId="0" applyFont="1" applyFill="1" applyBorder="1" applyAlignment="1">
      <alignment horizontal="center"/>
    </xf>
    <xf numFmtId="0" fontId="6" fillId="20" borderId="0" xfId="0" applyFont="1" applyFill="1" applyBorder="1" applyAlignment="1">
      <alignment horizontal="left"/>
    </xf>
    <xf numFmtId="2" fontId="7" fillId="20" borderId="0" xfId="0" applyNumberFormat="1" applyFont="1" applyFill="1" applyBorder="1" applyAlignment="1">
      <alignment horizontal="center"/>
    </xf>
    <xf numFmtId="2" fontId="9" fillId="20" borderId="0" xfId="0" applyNumberFormat="1" applyFont="1" applyFill="1" applyBorder="1" applyAlignment="1">
      <alignment horizontal="center"/>
    </xf>
    <xf numFmtId="0" fontId="2" fillId="20" borderId="0" xfId="0" applyFont="1" applyFill="1" applyBorder="1" applyAlignment="1">
      <alignment horizontal="center"/>
    </xf>
    <xf numFmtId="0" fontId="5" fillId="20" borderId="0" xfId="0" applyFont="1" applyFill="1" applyBorder="1" applyAlignment="1">
      <alignment horizontal="left"/>
    </xf>
    <xf numFmtId="2" fontId="2" fillId="20" borderId="0" xfId="0" applyNumberFormat="1" applyFont="1" applyFill="1" applyBorder="1" applyAlignment="1">
      <alignment horizontal="center"/>
    </xf>
    <xf numFmtId="208" fontId="5" fillId="20" borderId="0" xfId="0" applyNumberFormat="1" applyFont="1" applyFill="1" applyBorder="1" applyAlignment="1">
      <alignment horizontal="center"/>
    </xf>
    <xf numFmtId="208" fontId="5" fillId="2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3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vi-VN"/>
              <a:t>BIỂU ĐỒ SO SÁNH BIỂU ĐỒ ĐIỀU PHỐI HỒ CHỨA NƯỚC DẦU TIẾNG ỨNG VỚI 
(Quy trình vận hành liên hồ theo QĐ 1895 và Xây dựng mới)</a:t>
            </a:r>
          </a:p>
        </c:rich>
      </c:tx>
      <c:layout>
        <c:manualLayout>
          <c:xMode val="edge"/>
          <c:yMode val="edge"/>
          <c:x val="0.14349280477871301"/>
          <c:y val="1.97043492938847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49948293691834E-2"/>
          <c:y val="0.13220338983050847"/>
          <c:w val="0.90072388831437433"/>
          <c:h val="0.70677966101694911"/>
        </c:manualLayout>
      </c:layout>
      <c:lineChart>
        <c:grouping val="standard"/>
        <c:varyColors val="0"/>
        <c:ser>
          <c:idx val="34"/>
          <c:order val="0"/>
          <c:tx>
            <c:strRef>
              <c:f>'bang so lieu (sua) (3)'!$A$2</c:f>
              <c:strCache>
                <c:ptCount val="1"/>
                <c:pt idx="0">
                  <c:v>MNC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(3)'!$B$2:$AN$2</c:f>
              <c:numCache>
                <c:formatCode>0.00</c:formatCode>
                <c:ptCount val="39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84-4B0F-9D7D-3A906BADDC9C}"/>
            </c:ext>
          </c:extLst>
        </c:ser>
        <c:ser>
          <c:idx val="35"/>
          <c:order val="1"/>
          <c:tx>
            <c:strRef>
              <c:f>'bang so lieu (sua) (3)'!$A$3</c:f>
              <c:strCache>
                <c:ptCount val="1"/>
                <c:pt idx="0">
                  <c:v>MNDBT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(3)'!$B$3:$AN$3</c:f>
              <c:numCache>
                <c:formatCode>0.00</c:formatCode>
                <c:ptCount val="39"/>
                <c:pt idx="0">
                  <c:v>24.4</c:v>
                </c:pt>
                <c:pt idx="1">
                  <c:v>24.4</c:v>
                </c:pt>
                <c:pt idx="2">
                  <c:v>24.4</c:v>
                </c:pt>
                <c:pt idx="3">
                  <c:v>24.4</c:v>
                </c:pt>
                <c:pt idx="4">
                  <c:v>24.4</c:v>
                </c:pt>
                <c:pt idx="5">
                  <c:v>24.4</c:v>
                </c:pt>
                <c:pt idx="6">
                  <c:v>24.4</c:v>
                </c:pt>
                <c:pt idx="7">
                  <c:v>24.4</c:v>
                </c:pt>
                <c:pt idx="8">
                  <c:v>24.4</c:v>
                </c:pt>
                <c:pt idx="9">
                  <c:v>24.4</c:v>
                </c:pt>
                <c:pt idx="10">
                  <c:v>24.4</c:v>
                </c:pt>
                <c:pt idx="11">
                  <c:v>24.4</c:v>
                </c:pt>
                <c:pt idx="12">
                  <c:v>24.4</c:v>
                </c:pt>
                <c:pt idx="13">
                  <c:v>24.4</c:v>
                </c:pt>
                <c:pt idx="14">
                  <c:v>24.4</c:v>
                </c:pt>
                <c:pt idx="15">
                  <c:v>24.4</c:v>
                </c:pt>
                <c:pt idx="16">
                  <c:v>24.4</c:v>
                </c:pt>
                <c:pt idx="17">
                  <c:v>24.4</c:v>
                </c:pt>
                <c:pt idx="18">
                  <c:v>24.4</c:v>
                </c:pt>
                <c:pt idx="19">
                  <c:v>24.4</c:v>
                </c:pt>
                <c:pt idx="20">
                  <c:v>24.4</c:v>
                </c:pt>
                <c:pt idx="21">
                  <c:v>24.4</c:v>
                </c:pt>
                <c:pt idx="22">
                  <c:v>24.4</c:v>
                </c:pt>
                <c:pt idx="23">
                  <c:v>24.4</c:v>
                </c:pt>
                <c:pt idx="24">
                  <c:v>24.4</c:v>
                </c:pt>
                <c:pt idx="25">
                  <c:v>24.4</c:v>
                </c:pt>
                <c:pt idx="26">
                  <c:v>24.4</c:v>
                </c:pt>
                <c:pt idx="27">
                  <c:v>24.4</c:v>
                </c:pt>
                <c:pt idx="28">
                  <c:v>24.4</c:v>
                </c:pt>
                <c:pt idx="29">
                  <c:v>24.4</c:v>
                </c:pt>
                <c:pt idx="30">
                  <c:v>24.4</c:v>
                </c:pt>
                <c:pt idx="31">
                  <c:v>24.4</c:v>
                </c:pt>
                <c:pt idx="32">
                  <c:v>24.4</c:v>
                </c:pt>
                <c:pt idx="33">
                  <c:v>24.4</c:v>
                </c:pt>
                <c:pt idx="34">
                  <c:v>24.4</c:v>
                </c:pt>
                <c:pt idx="35">
                  <c:v>24.4</c:v>
                </c:pt>
                <c:pt idx="36">
                  <c:v>24.4</c:v>
                </c:pt>
                <c:pt idx="37">
                  <c:v>24.4</c:v>
                </c:pt>
                <c:pt idx="38">
                  <c:v>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84-4B0F-9D7D-3A906BADDC9C}"/>
            </c:ext>
          </c:extLst>
        </c:ser>
        <c:ser>
          <c:idx val="36"/>
          <c:order val="2"/>
          <c:tx>
            <c:strRef>
              <c:f>'bang so lieu (sua) (3)'!$A$4</c:f>
              <c:strCache>
                <c:ptCount val="1"/>
                <c:pt idx="0">
                  <c:v>MNTK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(3)'!$B$4:$AN$4</c:f>
              <c:numCache>
                <c:formatCode>0.00</c:formatCode>
                <c:ptCount val="39"/>
                <c:pt idx="0">
                  <c:v>25.1</c:v>
                </c:pt>
                <c:pt idx="1">
                  <c:v>25.1</c:v>
                </c:pt>
                <c:pt idx="2">
                  <c:v>25.1</c:v>
                </c:pt>
                <c:pt idx="3">
                  <c:v>25.1</c:v>
                </c:pt>
                <c:pt idx="4">
                  <c:v>25.1</c:v>
                </c:pt>
                <c:pt idx="5">
                  <c:v>25.1</c:v>
                </c:pt>
                <c:pt idx="6">
                  <c:v>25.1</c:v>
                </c:pt>
                <c:pt idx="7">
                  <c:v>25.1</c:v>
                </c:pt>
                <c:pt idx="8">
                  <c:v>25.1</c:v>
                </c:pt>
                <c:pt idx="9">
                  <c:v>25.1</c:v>
                </c:pt>
                <c:pt idx="10">
                  <c:v>25.1</c:v>
                </c:pt>
                <c:pt idx="11">
                  <c:v>25.1</c:v>
                </c:pt>
                <c:pt idx="12">
                  <c:v>25.1</c:v>
                </c:pt>
                <c:pt idx="13">
                  <c:v>25.1</c:v>
                </c:pt>
                <c:pt idx="14">
                  <c:v>25.1</c:v>
                </c:pt>
                <c:pt idx="15">
                  <c:v>25.1</c:v>
                </c:pt>
                <c:pt idx="16">
                  <c:v>25.1</c:v>
                </c:pt>
                <c:pt idx="17">
                  <c:v>25.1</c:v>
                </c:pt>
                <c:pt idx="18">
                  <c:v>25.1</c:v>
                </c:pt>
                <c:pt idx="19">
                  <c:v>25.1</c:v>
                </c:pt>
                <c:pt idx="20">
                  <c:v>25.1</c:v>
                </c:pt>
                <c:pt idx="21">
                  <c:v>25.1</c:v>
                </c:pt>
                <c:pt idx="22">
                  <c:v>25.1</c:v>
                </c:pt>
                <c:pt idx="23">
                  <c:v>25.1</c:v>
                </c:pt>
                <c:pt idx="24">
                  <c:v>25.1</c:v>
                </c:pt>
                <c:pt idx="25">
                  <c:v>25.1</c:v>
                </c:pt>
                <c:pt idx="26">
                  <c:v>25.1</c:v>
                </c:pt>
                <c:pt idx="27">
                  <c:v>25.1</c:v>
                </c:pt>
                <c:pt idx="28">
                  <c:v>25.1</c:v>
                </c:pt>
                <c:pt idx="29">
                  <c:v>25.1</c:v>
                </c:pt>
                <c:pt idx="30">
                  <c:v>25.1</c:v>
                </c:pt>
                <c:pt idx="31">
                  <c:v>25.1</c:v>
                </c:pt>
                <c:pt idx="32">
                  <c:v>25.1</c:v>
                </c:pt>
                <c:pt idx="33">
                  <c:v>25.1</c:v>
                </c:pt>
                <c:pt idx="34">
                  <c:v>25.1</c:v>
                </c:pt>
                <c:pt idx="35">
                  <c:v>25.1</c:v>
                </c:pt>
                <c:pt idx="36">
                  <c:v>25.1</c:v>
                </c:pt>
                <c:pt idx="37">
                  <c:v>25.1</c:v>
                </c:pt>
                <c:pt idx="38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84-4B0F-9D7D-3A906BADDC9C}"/>
            </c:ext>
          </c:extLst>
        </c:ser>
        <c:ser>
          <c:idx val="38"/>
          <c:order val="3"/>
          <c:tx>
            <c:strRef>
              <c:f>'bang so lieu (sua) (3)'!$A$5</c:f>
              <c:strCache>
                <c:ptCount val="1"/>
                <c:pt idx="0">
                  <c:v>HĐĐ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(3)'!$B$5:$AN$5</c:f>
              <c:numCache>
                <c:formatCode>0.00</c:formatCode>
                <c:ptCount val="39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84-4B0F-9D7D-3A906BADDC9C}"/>
            </c:ext>
          </c:extLst>
        </c:ser>
        <c:ser>
          <c:idx val="39"/>
          <c:order val="4"/>
          <c:tx>
            <c:strRef>
              <c:f>'bang so lieu (sua) (3)'!$A$6</c:f>
              <c:strCache>
                <c:ptCount val="1"/>
                <c:pt idx="0">
                  <c:v>HKT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(3)'!$B$6:$AN$6</c:f>
              <c:numCache>
                <c:formatCode>0.00</c:formatCode>
                <c:ptCount val="39"/>
                <c:pt idx="0">
                  <c:v>26.92</c:v>
                </c:pt>
                <c:pt idx="1">
                  <c:v>26.92</c:v>
                </c:pt>
                <c:pt idx="2">
                  <c:v>26.92</c:v>
                </c:pt>
                <c:pt idx="3">
                  <c:v>26.92</c:v>
                </c:pt>
                <c:pt idx="4">
                  <c:v>26.92</c:v>
                </c:pt>
                <c:pt idx="5">
                  <c:v>26.92</c:v>
                </c:pt>
                <c:pt idx="6">
                  <c:v>26.92</c:v>
                </c:pt>
                <c:pt idx="7">
                  <c:v>26.92</c:v>
                </c:pt>
                <c:pt idx="8">
                  <c:v>26.92</c:v>
                </c:pt>
                <c:pt idx="9">
                  <c:v>26.92</c:v>
                </c:pt>
                <c:pt idx="10">
                  <c:v>26.92</c:v>
                </c:pt>
                <c:pt idx="11">
                  <c:v>26.92</c:v>
                </c:pt>
                <c:pt idx="12">
                  <c:v>26.92</c:v>
                </c:pt>
                <c:pt idx="13">
                  <c:v>26.92</c:v>
                </c:pt>
                <c:pt idx="14">
                  <c:v>26.92</c:v>
                </c:pt>
                <c:pt idx="15">
                  <c:v>26.92</c:v>
                </c:pt>
                <c:pt idx="16">
                  <c:v>26.92</c:v>
                </c:pt>
                <c:pt idx="17">
                  <c:v>26.92</c:v>
                </c:pt>
                <c:pt idx="18">
                  <c:v>26.92</c:v>
                </c:pt>
                <c:pt idx="19">
                  <c:v>26.92</c:v>
                </c:pt>
                <c:pt idx="20">
                  <c:v>26.92</c:v>
                </c:pt>
                <c:pt idx="21">
                  <c:v>26.92</c:v>
                </c:pt>
                <c:pt idx="22">
                  <c:v>26.92</c:v>
                </c:pt>
                <c:pt idx="23">
                  <c:v>26.92</c:v>
                </c:pt>
                <c:pt idx="24">
                  <c:v>26.92</c:v>
                </c:pt>
                <c:pt idx="25">
                  <c:v>26.92</c:v>
                </c:pt>
                <c:pt idx="26">
                  <c:v>26.92</c:v>
                </c:pt>
                <c:pt idx="27">
                  <c:v>26.92</c:v>
                </c:pt>
                <c:pt idx="28">
                  <c:v>26.92</c:v>
                </c:pt>
                <c:pt idx="29">
                  <c:v>26.92</c:v>
                </c:pt>
                <c:pt idx="30">
                  <c:v>26.92</c:v>
                </c:pt>
                <c:pt idx="31">
                  <c:v>26.92</c:v>
                </c:pt>
                <c:pt idx="32">
                  <c:v>26.92</c:v>
                </c:pt>
                <c:pt idx="33">
                  <c:v>26.92</c:v>
                </c:pt>
                <c:pt idx="34">
                  <c:v>26.92</c:v>
                </c:pt>
                <c:pt idx="35">
                  <c:v>26.92</c:v>
                </c:pt>
                <c:pt idx="36">
                  <c:v>26.92</c:v>
                </c:pt>
                <c:pt idx="37">
                  <c:v>26.92</c:v>
                </c:pt>
                <c:pt idx="38">
                  <c:v>26.92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84-4B0F-9D7D-3A906BADDC9C}"/>
            </c:ext>
          </c:extLst>
        </c:ser>
        <c:ser>
          <c:idx val="0"/>
          <c:order val="5"/>
          <c:tx>
            <c:strRef>
              <c:f>'bang so lieu (sua) (3)'!$A$7</c:f>
              <c:strCache>
                <c:ptCount val="1"/>
                <c:pt idx="0">
                  <c:v>ĐPPH 85% mới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(4)'!$C$23:$AO$23</c:f>
              <c:numCache>
                <c:formatCode>0.00</c:formatCode>
                <c:ptCount val="39"/>
                <c:pt idx="0">
                  <c:v>19</c:v>
                </c:pt>
                <c:pt idx="1">
                  <c:v>19.2</c:v>
                </c:pt>
                <c:pt idx="2">
                  <c:v>19.234999999999999</c:v>
                </c:pt>
                <c:pt idx="3">
                  <c:v>19.399999999999999</c:v>
                </c:pt>
                <c:pt idx="4">
                  <c:v>19.47</c:v>
                </c:pt>
                <c:pt idx="5">
                  <c:v>19.899999999999999</c:v>
                </c:pt>
                <c:pt idx="6">
                  <c:v>19.96</c:v>
                </c:pt>
                <c:pt idx="7">
                  <c:v>20.399999999999999</c:v>
                </c:pt>
                <c:pt idx="8">
                  <c:v>20.45</c:v>
                </c:pt>
                <c:pt idx="9">
                  <c:v>21.3</c:v>
                </c:pt>
                <c:pt idx="10">
                  <c:v>21.344999999999999</c:v>
                </c:pt>
                <c:pt idx="11">
                  <c:v>22.15</c:v>
                </c:pt>
                <c:pt idx="12">
                  <c:v>22.24</c:v>
                </c:pt>
                <c:pt idx="13">
                  <c:v>23</c:v>
                </c:pt>
                <c:pt idx="14">
                  <c:v>23.085000000000001</c:v>
                </c:pt>
                <c:pt idx="15">
                  <c:v>23.8</c:v>
                </c:pt>
                <c:pt idx="16">
                  <c:v>23.93</c:v>
                </c:pt>
                <c:pt idx="17">
                  <c:v>24.4</c:v>
                </c:pt>
                <c:pt idx="18">
                  <c:v>24.4</c:v>
                </c:pt>
                <c:pt idx="19">
                  <c:v>24.4</c:v>
                </c:pt>
                <c:pt idx="20">
                  <c:v>24.4</c:v>
                </c:pt>
                <c:pt idx="21">
                  <c:v>24.187096774193549</c:v>
                </c:pt>
                <c:pt idx="22">
                  <c:v>23.993548387096773</c:v>
                </c:pt>
                <c:pt idx="23">
                  <c:v>23.8</c:v>
                </c:pt>
                <c:pt idx="24">
                  <c:v>23.336428571428574</c:v>
                </c:pt>
                <c:pt idx="25">
                  <c:v>22.914999999999999</c:v>
                </c:pt>
                <c:pt idx="26">
                  <c:v>22.62</c:v>
                </c:pt>
                <c:pt idx="27">
                  <c:v>22.11967741935484</c:v>
                </c:pt>
                <c:pt idx="28">
                  <c:v>21.664838709677419</c:v>
                </c:pt>
                <c:pt idx="29">
                  <c:v>21.21</c:v>
                </c:pt>
                <c:pt idx="30">
                  <c:v>20.843333333333334</c:v>
                </c:pt>
                <c:pt idx="31">
                  <c:v>20.51</c:v>
                </c:pt>
                <c:pt idx="32">
                  <c:v>20.21</c:v>
                </c:pt>
                <c:pt idx="33">
                  <c:v>20.025483870967744</c:v>
                </c:pt>
                <c:pt idx="34">
                  <c:v>19.857741935483872</c:v>
                </c:pt>
                <c:pt idx="35">
                  <c:v>19.690000000000001</c:v>
                </c:pt>
                <c:pt idx="36">
                  <c:v>19.437000000000001</c:v>
                </c:pt>
                <c:pt idx="37">
                  <c:v>19.207000000000001</c:v>
                </c:pt>
                <c:pt idx="3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84-4B0F-9D7D-3A906BADDC9C}"/>
            </c:ext>
          </c:extLst>
        </c:ser>
        <c:ser>
          <c:idx val="1"/>
          <c:order val="6"/>
          <c:tx>
            <c:strRef>
              <c:f>'bang so lieu (sua) (3)'!$A$8</c:f>
              <c:strCache>
                <c:ptCount val="1"/>
                <c:pt idx="0">
                  <c:v>HCCN 85% mới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(4)'!$C$24:$AO$24</c:f>
              <c:numCache>
                <c:formatCode>0.00</c:formatCode>
                <c:ptCount val="39"/>
                <c:pt idx="0">
                  <c:v>17</c:v>
                </c:pt>
                <c:pt idx="1">
                  <c:v>17.100000000000001</c:v>
                </c:pt>
                <c:pt idx="2">
                  <c:v>17.164999999999999</c:v>
                </c:pt>
                <c:pt idx="3">
                  <c:v>17.25</c:v>
                </c:pt>
                <c:pt idx="4">
                  <c:v>17.329999999999998</c:v>
                </c:pt>
                <c:pt idx="5">
                  <c:v>17.600000000000001</c:v>
                </c:pt>
                <c:pt idx="6">
                  <c:v>17.564999999999998</c:v>
                </c:pt>
                <c:pt idx="7">
                  <c:v>17.7</c:v>
                </c:pt>
                <c:pt idx="8">
                  <c:v>17.8</c:v>
                </c:pt>
                <c:pt idx="9">
                  <c:v>18.600000000000001</c:v>
                </c:pt>
                <c:pt idx="10">
                  <c:v>18.68</c:v>
                </c:pt>
                <c:pt idx="11">
                  <c:v>19.5</c:v>
                </c:pt>
                <c:pt idx="12">
                  <c:v>19.559999999999999</c:v>
                </c:pt>
                <c:pt idx="13">
                  <c:v>20.25</c:v>
                </c:pt>
                <c:pt idx="14">
                  <c:v>20.38</c:v>
                </c:pt>
                <c:pt idx="15">
                  <c:v>21.1</c:v>
                </c:pt>
                <c:pt idx="16">
                  <c:v>21.2</c:v>
                </c:pt>
                <c:pt idx="17">
                  <c:v>21.67</c:v>
                </c:pt>
                <c:pt idx="18">
                  <c:v>21.6</c:v>
                </c:pt>
                <c:pt idx="19">
                  <c:v>21.55</c:v>
                </c:pt>
                <c:pt idx="20">
                  <c:v>21.5</c:v>
                </c:pt>
                <c:pt idx="21">
                  <c:v>21.21</c:v>
                </c:pt>
                <c:pt idx="22">
                  <c:v>21.03</c:v>
                </c:pt>
                <c:pt idx="23">
                  <c:v>20.81</c:v>
                </c:pt>
                <c:pt idx="24">
                  <c:v>20.51</c:v>
                </c:pt>
                <c:pt idx="25">
                  <c:v>20.21</c:v>
                </c:pt>
                <c:pt idx="26">
                  <c:v>19.97</c:v>
                </c:pt>
                <c:pt idx="27">
                  <c:v>19.46</c:v>
                </c:pt>
                <c:pt idx="28">
                  <c:v>19.03</c:v>
                </c:pt>
                <c:pt idx="29">
                  <c:v>18.59</c:v>
                </c:pt>
                <c:pt idx="30">
                  <c:v>18.28</c:v>
                </c:pt>
                <c:pt idx="31">
                  <c:v>17.98</c:v>
                </c:pt>
                <c:pt idx="32">
                  <c:v>17.7</c:v>
                </c:pt>
                <c:pt idx="33">
                  <c:v>17.48</c:v>
                </c:pt>
                <c:pt idx="34">
                  <c:v>17.45</c:v>
                </c:pt>
                <c:pt idx="35">
                  <c:v>17.399999999999999</c:v>
                </c:pt>
                <c:pt idx="36">
                  <c:v>17.38</c:v>
                </c:pt>
                <c:pt idx="37">
                  <c:v>17.350000000000001</c:v>
                </c:pt>
                <c:pt idx="38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84-4B0F-9D7D-3A906BADDC9C}"/>
            </c:ext>
          </c:extLst>
        </c:ser>
        <c:ser>
          <c:idx val="2"/>
          <c:order val="7"/>
          <c:tx>
            <c:strRef>
              <c:f>'bang so lieu (sua) (3)'!$A$9</c:f>
              <c:strCache>
                <c:ptCount val="1"/>
                <c:pt idx="0">
                  <c:v>ĐPPH QT vận hành liên hồ</c:v>
                </c:pt>
              </c:strCache>
            </c:strRef>
          </c:tx>
          <c:spPr>
            <a:ln w="38100">
              <a:solidFill>
                <a:srgbClr val="993366"/>
              </a:solidFill>
              <a:prstDash val="sysDash"/>
            </a:ln>
          </c:spPr>
          <c:marker>
            <c:symbol val="triangle"/>
            <c:size val="6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(3)'!$B$9:$AN$9</c:f>
              <c:numCache>
                <c:formatCode>0.00</c:formatCode>
                <c:ptCount val="39"/>
                <c:pt idx="17">
                  <c:v>24.4</c:v>
                </c:pt>
                <c:pt idx="18">
                  <c:v>24.24</c:v>
                </c:pt>
                <c:pt idx="19">
                  <c:v>24.09</c:v>
                </c:pt>
                <c:pt idx="20">
                  <c:v>23.93</c:v>
                </c:pt>
                <c:pt idx="21">
                  <c:v>23.62</c:v>
                </c:pt>
                <c:pt idx="22">
                  <c:v>23.3</c:v>
                </c:pt>
                <c:pt idx="23">
                  <c:v>22.99</c:v>
                </c:pt>
                <c:pt idx="24">
                  <c:v>22.64</c:v>
                </c:pt>
                <c:pt idx="25">
                  <c:v>22.28</c:v>
                </c:pt>
                <c:pt idx="26">
                  <c:v>21.93</c:v>
                </c:pt>
                <c:pt idx="27">
                  <c:v>21.55</c:v>
                </c:pt>
                <c:pt idx="28">
                  <c:v>21.26</c:v>
                </c:pt>
                <c:pt idx="29">
                  <c:v>20.78</c:v>
                </c:pt>
                <c:pt idx="30">
                  <c:v>20.51</c:v>
                </c:pt>
                <c:pt idx="31">
                  <c:v>20.23</c:v>
                </c:pt>
                <c:pt idx="32">
                  <c:v>19.96</c:v>
                </c:pt>
                <c:pt idx="33">
                  <c:v>19.78</c:v>
                </c:pt>
                <c:pt idx="34">
                  <c:v>19.61</c:v>
                </c:pt>
                <c:pt idx="35">
                  <c:v>19.43</c:v>
                </c:pt>
                <c:pt idx="36">
                  <c:v>19.22</c:v>
                </c:pt>
                <c:pt idx="37">
                  <c:v>19</c:v>
                </c:pt>
                <c:pt idx="3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84-4B0F-9D7D-3A906BADDC9C}"/>
            </c:ext>
          </c:extLst>
        </c:ser>
        <c:ser>
          <c:idx val="3"/>
          <c:order val="8"/>
          <c:tx>
            <c:strRef>
              <c:f>'bang so lieu (sua) (3)'!$A$10</c:f>
              <c:strCache>
                <c:ptCount val="1"/>
                <c:pt idx="0">
                  <c:v>ĐHCCN QT vận hành liên hồ</c:v>
                </c:pt>
              </c:strCache>
            </c:strRef>
          </c:tx>
          <c:spPr>
            <a:ln w="38100">
              <a:solidFill>
                <a:srgbClr val="00FFFF"/>
              </a:solidFill>
              <a:prstDash val="sysDash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(3)'!$B$10:$AN$10</c:f>
              <c:numCache>
                <c:formatCode>0.00</c:formatCode>
                <c:ptCount val="39"/>
                <c:pt idx="17">
                  <c:v>21.67</c:v>
                </c:pt>
                <c:pt idx="18">
                  <c:v>21.6</c:v>
                </c:pt>
                <c:pt idx="19">
                  <c:v>21.55</c:v>
                </c:pt>
                <c:pt idx="20">
                  <c:v>21.5</c:v>
                </c:pt>
                <c:pt idx="21">
                  <c:v>21.21</c:v>
                </c:pt>
                <c:pt idx="22">
                  <c:v>21.03</c:v>
                </c:pt>
                <c:pt idx="23">
                  <c:v>20.81</c:v>
                </c:pt>
                <c:pt idx="24">
                  <c:v>20.51</c:v>
                </c:pt>
                <c:pt idx="25">
                  <c:v>20.21</c:v>
                </c:pt>
                <c:pt idx="26">
                  <c:v>19.97</c:v>
                </c:pt>
                <c:pt idx="27">
                  <c:v>19.46</c:v>
                </c:pt>
                <c:pt idx="28">
                  <c:v>19.03</c:v>
                </c:pt>
                <c:pt idx="29">
                  <c:v>18.59</c:v>
                </c:pt>
                <c:pt idx="30">
                  <c:v>18.28</c:v>
                </c:pt>
                <c:pt idx="31">
                  <c:v>17.98</c:v>
                </c:pt>
                <c:pt idx="32">
                  <c:v>17.7</c:v>
                </c:pt>
                <c:pt idx="33">
                  <c:v>17.48</c:v>
                </c:pt>
                <c:pt idx="34">
                  <c:v>17.45</c:v>
                </c:pt>
                <c:pt idx="35">
                  <c:v>17.399999999999999</c:v>
                </c:pt>
                <c:pt idx="36">
                  <c:v>17.38</c:v>
                </c:pt>
                <c:pt idx="37">
                  <c:v>17.350000000000001</c:v>
                </c:pt>
                <c:pt idx="38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784-4B0F-9D7D-3A906BADDC9C}"/>
            </c:ext>
          </c:extLst>
        </c:ser>
        <c:ser>
          <c:idx val="4"/>
          <c:order val="9"/>
          <c:tx>
            <c:strRef>
              <c:f>'bang so lieu (sua) (3)'!$A$12</c:f>
              <c:strCache>
                <c:ptCount val="1"/>
                <c:pt idx="0">
                  <c:v>ĐPL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(4)'!$C$28:$T$28</c:f>
              <c:numCache>
                <c:formatCode>0.00</c:formatCode>
                <c:ptCount val="18"/>
                <c:pt idx="0">
                  <c:v>20.3</c:v>
                </c:pt>
                <c:pt idx="1">
                  <c:v>20.3</c:v>
                </c:pt>
                <c:pt idx="2">
                  <c:v>21.2</c:v>
                </c:pt>
                <c:pt idx="3">
                  <c:v>21.2</c:v>
                </c:pt>
                <c:pt idx="4">
                  <c:v>22.1</c:v>
                </c:pt>
                <c:pt idx="5">
                  <c:v>22.1</c:v>
                </c:pt>
                <c:pt idx="6">
                  <c:v>22.7</c:v>
                </c:pt>
                <c:pt idx="7">
                  <c:v>22.7</c:v>
                </c:pt>
                <c:pt idx="8">
                  <c:v>23.3</c:v>
                </c:pt>
                <c:pt idx="9">
                  <c:v>23.3</c:v>
                </c:pt>
                <c:pt idx="10">
                  <c:v>23.65</c:v>
                </c:pt>
                <c:pt idx="11">
                  <c:v>23.65</c:v>
                </c:pt>
                <c:pt idx="12">
                  <c:v>24</c:v>
                </c:pt>
                <c:pt idx="13">
                  <c:v>24</c:v>
                </c:pt>
                <c:pt idx="14">
                  <c:v>24.4</c:v>
                </c:pt>
                <c:pt idx="15">
                  <c:v>24.4</c:v>
                </c:pt>
                <c:pt idx="16">
                  <c:v>24.4</c:v>
                </c:pt>
                <c:pt idx="17">
                  <c:v>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84-4B0F-9D7D-3A906BADD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944920"/>
        <c:axId val="1"/>
      </c:lineChart>
      <c:dateAx>
        <c:axId val="54694492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Ngày/ Tháng</a:t>
                </a:r>
              </a:p>
            </c:rich>
          </c:tx>
          <c:layout>
            <c:manualLayout>
              <c:xMode val="edge"/>
              <c:yMode val="edge"/>
              <c:x val="0.8955532989410806"/>
              <c:y val="0.88983056581452802"/>
            </c:manualLayout>
          </c:layout>
          <c:overlay val="0"/>
          <c:spPr>
            <a:noFill/>
            <a:ln w="25400">
              <a:noFill/>
            </a:ln>
          </c:spPr>
        </c:title>
        <c:numFmt formatCode="d/m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16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"/>
        <c:scaling>
          <c:orientation val="minMax"/>
          <c:max val="28"/>
          <c:min val="17"/>
        </c:scaling>
        <c:delete val="0"/>
        <c:axPos val="l"/>
        <c:majorGridlines>
          <c:spPr>
            <a:ln w="12700">
              <a:solidFill>
                <a:srgbClr val="80808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vi-VN"/>
                  <a:t>Mực nước H (m)</a:t>
                </a:r>
              </a:p>
            </c:rich>
          </c:tx>
          <c:layout>
            <c:manualLayout>
              <c:xMode val="edge"/>
              <c:yMode val="edge"/>
              <c:x val="1.4428346456692913E-2"/>
              <c:y val="0.4143555934932771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6944920"/>
        <c:crosses val="autoZero"/>
        <c:crossBetween val="midCat"/>
        <c:majorUnit val="1"/>
        <c:minorUnit val="0.5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3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BIỂU ĐỒ ĐIỀU PHỐI HỒ CHỨA NƯỚC DẦU TIẾNG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300" b="1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KHI CÓ BỔ SUNG NƯỚC TỪ ĐẬP DÂNG PHƯỚC HÒA</a:t>
            </a:r>
          </a:p>
        </c:rich>
      </c:tx>
      <c:layout>
        <c:manualLayout>
          <c:xMode val="edge"/>
          <c:yMode val="edge"/>
          <c:x val="0.26772598425196847"/>
          <c:y val="2.19656559160232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49948293691834E-2"/>
          <c:y val="0.13220338983050847"/>
          <c:w val="0.90072388831437433"/>
          <c:h val="0.70677966101694911"/>
        </c:manualLayout>
      </c:layout>
      <c:lineChart>
        <c:grouping val="standard"/>
        <c:varyColors val="0"/>
        <c:ser>
          <c:idx val="34"/>
          <c:order val="0"/>
          <c:tx>
            <c:strRef>
              <c:f>'bang so lieu (sua) (3)'!$A$2</c:f>
              <c:strCache>
                <c:ptCount val="1"/>
                <c:pt idx="0">
                  <c:v>MNC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(3)'!$B$2:$AN$2</c:f>
              <c:numCache>
                <c:formatCode>0.00</c:formatCode>
                <c:ptCount val="39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6-4D78-AEB6-864D2C67A82B}"/>
            </c:ext>
          </c:extLst>
        </c:ser>
        <c:ser>
          <c:idx val="35"/>
          <c:order val="1"/>
          <c:tx>
            <c:strRef>
              <c:f>'bang so lieu (sua) (3)'!$A$3</c:f>
              <c:strCache>
                <c:ptCount val="1"/>
                <c:pt idx="0">
                  <c:v>MNDBT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(3)'!$B$3:$AN$3</c:f>
              <c:numCache>
                <c:formatCode>0.00</c:formatCode>
                <c:ptCount val="39"/>
                <c:pt idx="0">
                  <c:v>24.4</c:v>
                </c:pt>
                <c:pt idx="1">
                  <c:v>24.4</c:v>
                </c:pt>
                <c:pt idx="2">
                  <c:v>24.4</c:v>
                </c:pt>
                <c:pt idx="3">
                  <c:v>24.4</c:v>
                </c:pt>
                <c:pt idx="4">
                  <c:v>24.4</c:v>
                </c:pt>
                <c:pt idx="5">
                  <c:v>24.4</c:v>
                </c:pt>
                <c:pt idx="6">
                  <c:v>24.4</c:v>
                </c:pt>
                <c:pt idx="7">
                  <c:v>24.4</c:v>
                </c:pt>
                <c:pt idx="8">
                  <c:v>24.4</c:v>
                </c:pt>
                <c:pt idx="9">
                  <c:v>24.4</c:v>
                </c:pt>
                <c:pt idx="10">
                  <c:v>24.4</c:v>
                </c:pt>
                <c:pt idx="11">
                  <c:v>24.4</c:v>
                </c:pt>
                <c:pt idx="12">
                  <c:v>24.4</c:v>
                </c:pt>
                <c:pt idx="13">
                  <c:v>24.4</c:v>
                </c:pt>
                <c:pt idx="14">
                  <c:v>24.4</c:v>
                </c:pt>
                <c:pt idx="15">
                  <c:v>24.4</c:v>
                </c:pt>
                <c:pt idx="16">
                  <c:v>24.4</c:v>
                </c:pt>
                <c:pt idx="17">
                  <c:v>24.4</c:v>
                </c:pt>
                <c:pt idx="18">
                  <c:v>24.4</c:v>
                </c:pt>
                <c:pt idx="19">
                  <c:v>24.4</c:v>
                </c:pt>
                <c:pt idx="20">
                  <c:v>24.4</c:v>
                </c:pt>
                <c:pt idx="21">
                  <c:v>24.4</c:v>
                </c:pt>
                <c:pt idx="22">
                  <c:v>24.4</c:v>
                </c:pt>
                <c:pt idx="23">
                  <c:v>24.4</c:v>
                </c:pt>
                <c:pt idx="24">
                  <c:v>24.4</c:v>
                </c:pt>
                <c:pt idx="25">
                  <c:v>24.4</c:v>
                </c:pt>
                <c:pt idx="26">
                  <c:v>24.4</c:v>
                </c:pt>
                <c:pt idx="27">
                  <c:v>24.4</c:v>
                </c:pt>
                <c:pt idx="28">
                  <c:v>24.4</c:v>
                </c:pt>
                <c:pt idx="29">
                  <c:v>24.4</c:v>
                </c:pt>
                <c:pt idx="30">
                  <c:v>24.4</c:v>
                </c:pt>
                <c:pt idx="31">
                  <c:v>24.4</c:v>
                </c:pt>
                <c:pt idx="32">
                  <c:v>24.4</c:v>
                </c:pt>
                <c:pt idx="33">
                  <c:v>24.4</c:v>
                </c:pt>
                <c:pt idx="34">
                  <c:v>24.4</c:v>
                </c:pt>
                <c:pt idx="35">
                  <c:v>24.4</c:v>
                </c:pt>
                <c:pt idx="36">
                  <c:v>24.4</c:v>
                </c:pt>
                <c:pt idx="37">
                  <c:v>24.4</c:v>
                </c:pt>
                <c:pt idx="38">
                  <c:v>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6-4D78-AEB6-864D2C67A82B}"/>
            </c:ext>
          </c:extLst>
        </c:ser>
        <c:ser>
          <c:idx val="36"/>
          <c:order val="2"/>
          <c:tx>
            <c:strRef>
              <c:f>'bang so lieu (sua) (3)'!$A$4</c:f>
              <c:strCache>
                <c:ptCount val="1"/>
                <c:pt idx="0">
                  <c:v>MNTK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(3)'!$B$4:$AN$4</c:f>
              <c:numCache>
                <c:formatCode>0.00</c:formatCode>
                <c:ptCount val="39"/>
                <c:pt idx="0">
                  <c:v>25.1</c:v>
                </c:pt>
                <c:pt idx="1">
                  <c:v>25.1</c:v>
                </c:pt>
                <c:pt idx="2">
                  <c:v>25.1</c:v>
                </c:pt>
                <c:pt idx="3">
                  <c:v>25.1</c:v>
                </c:pt>
                <c:pt idx="4">
                  <c:v>25.1</c:v>
                </c:pt>
                <c:pt idx="5">
                  <c:v>25.1</c:v>
                </c:pt>
                <c:pt idx="6">
                  <c:v>25.1</c:v>
                </c:pt>
                <c:pt idx="7">
                  <c:v>25.1</c:v>
                </c:pt>
                <c:pt idx="8">
                  <c:v>25.1</c:v>
                </c:pt>
                <c:pt idx="9">
                  <c:v>25.1</c:v>
                </c:pt>
                <c:pt idx="10">
                  <c:v>25.1</c:v>
                </c:pt>
                <c:pt idx="11">
                  <c:v>25.1</c:v>
                </c:pt>
                <c:pt idx="12">
                  <c:v>25.1</c:v>
                </c:pt>
                <c:pt idx="13">
                  <c:v>25.1</c:v>
                </c:pt>
                <c:pt idx="14">
                  <c:v>25.1</c:v>
                </c:pt>
                <c:pt idx="15">
                  <c:v>25.1</c:v>
                </c:pt>
                <c:pt idx="16">
                  <c:v>25.1</c:v>
                </c:pt>
                <c:pt idx="17">
                  <c:v>25.1</c:v>
                </c:pt>
                <c:pt idx="18">
                  <c:v>25.1</c:v>
                </c:pt>
                <c:pt idx="19">
                  <c:v>25.1</c:v>
                </c:pt>
                <c:pt idx="20">
                  <c:v>25.1</c:v>
                </c:pt>
                <c:pt idx="21">
                  <c:v>25.1</c:v>
                </c:pt>
                <c:pt idx="22">
                  <c:v>25.1</c:v>
                </c:pt>
                <c:pt idx="23">
                  <c:v>25.1</c:v>
                </c:pt>
                <c:pt idx="24">
                  <c:v>25.1</c:v>
                </c:pt>
                <c:pt idx="25">
                  <c:v>25.1</c:v>
                </c:pt>
                <c:pt idx="26">
                  <c:v>25.1</c:v>
                </c:pt>
                <c:pt idx="27">
                  <c:v>25.1</c:v>
                </c:pt>
                <c:pt idx="28">
                  <c:v>25.1</c:v>
                </c:pt>
                <c:pt idx="29">
                  <c:v>25.1</c:v>
                </c:pt>
                <c:pt idx="30">
                  <c:v>25.1</c:v>
                </c:pt>
                <c:pt idx="31">
                  <c:v>25.1</c:v>
                </c:pt>
                <c:pt idx="32">
                  <c:v>25.1</c:v>
                </c:pt>
                <c:pt idx="33">
                  <c:v>25.1</c:v>
                </c:pt>
                <c:pt idx="34">
                  <c:v>25.1</c:v>
                </c:pt>
                <c:pt idx="35">
                  <c:v>25.1</c:v>
                </c:pt>
                <c:pt idx="36">
                  <c:v>25.1</c:v>
                </c:pt>
                <c:pt idx="37">
                  <c:v>25.1</c:v>
                </c:pt>
                <c:pt idx="38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A6-4D78-AEB6-864D2C67A82B}"/>
            </c:ext>
          </c:extLst>
        </c:ser>
        <c:ser>
          <c:idx val="38"/>
          <c:order val="3"/>
          <c:tx>
            <c:strRef>
              <c:f>'bang so lieu (sua) (3)'!$A$5</c:f>
              <c:strCache>
                <c:ptCount val="1"/>
                <c:pt idx="0">
                  <c:v>HĐĐ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(3)'!$B$5:$AN$5</c:f>
              <c:numCache>
                <c:formatCode>0.00</c:formatCode>
                <c:ptCount val="39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A6-4D78-AEB6-864D2C67A82B}"/>
            </c:ext>
          </c:extLst>
        </c:ser>
        <c:ser>
          <c:idx val="39"/>
          <c:order val="4"/>
          <c:tx>
            <c:strRef>
              <c:f>'bang so lieu (sua) (3)'!$A$6</c:f>
              <c:strCache>
                <c:ptCount val="1"/>
                <c:pt idx="0">
                  <c:v>HKT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(3)'!$B$6:$AN$6</c:f>
              <c:numCache>
                <c:formatCode>0.00</c:formatCode>
                <c:ptCount val="39"/>
                <c:pt idx="0">
                  <c:v>26.92</c:v>
                </c:pt>
                <c:pt idx="1">
                  <c:v>26.92</c:v>
                </c:pt>
                <c:pt idx="2">
                  <c:v>26.92</c:v>
                </c:pt>
                <c:pt idx="3">
                  <c:v>26.92</c:v>
                </c:pt>
                <c:pt idx="4">
                  <c:v>26.92</c:v>
                </c:pt>
                <c:pt idx="5">
                  <c:v>26.92</c:v>
                </c:pt>
                <c:pt idx="6">
                  <c:v>26.92</c:v>
                </c:pt>
                <c:pt idx="7">
                  <c:v>26.92</c:v>
                </c:pt>
                <c:pt idx="8">
                  <c:v>26.92</c:v>
                </c:pt>
                <c:pt idx="9">
                  <c:v>26.92</c:v>
                </c:pt>
                <c:pt idx="10">
                  <c:v>26.92</c:v>
                </c:pt>
                <c:pt idx="11">
                  <c:v>26.92</c:v>
                </c:pt>
                <c:pt idx="12">
                  <c:v>26.92</c:v>
                </c:pt>
                <c:pt idx="13">
                  <c:v>26.92</c:v>
                </c:pt>
                <c:pt idx="14">
                  <c:v>26.92</c:v>
                </c:pt>
                <c:pt idx="15">
                  <c:v>26.92</c:v>
                </c:pt>
                <c:pt idx="16">
                  <c:v>26.92</c:v>
                </c:pt>
                <c:pt idx="17">
                  <c:v>26.92</c:v>
                </c:pt>
                <c:pt idx="18">
                  <c:v>26.92</c:v>
                </c:pt>
                <c:pt idx="19">
                  <c:v>26.92</c:v>
                </c:pt>
                <c:pt idx="20">
                  <c:v>26.92</c:v>
                </c:pt>
                <c:pt idx="21">
                  <c:v>26.92</c:v>
                </c:pt>
                <c:pt idx="22">
                  <c:v>26.92</c:v>
                </c:pt>
                <c:pt idx="23">
                  <c:v>26.92</c:v>
                </c:pt>
                <c:pt idx="24">
                  <c:v>26.92</c:v>
                </c:pt>
                <c:pt idx="25">
                  <c:v>26.92</c:v>
                </c:pt>
                <c:pt idx="26">
                  <c:v>26.92</c:v>
                </c:pt>
                <c:pt idx="27">
                  <c:v>26.92</c:v>
                </c:pt>
                <c:pt idx="28">
                  <c:v>26.92</c:v>
                </c:pt>
                <c:pt idx="29">
                  <c:v>26.92</c:v>
                </c:pt>
                <c:pt idx="30">
                  <c:v>26.92</c:v>
                </c:pt>
                <c:pt idx="31">
                  <c:v>26.92</c:v>
                </c:pt>
                <c:pt idx="32">
                  <c:v>26.92</c:v>
                </c:pt>
                <c:pt idx="33">
                  <c:v>26.92</c:v>
                </c:pt>
                <c:pt idx="34">
                  <c:v>26.92</c:v>
                </c:pt>
                <c:pt idx="35">
                  <c:v>26.92</c:v>
                </c:pt>
                <c:pt idx="36">
                  <c:v>26.92</c:v>
                </c:pt>
                <c:pt idx="37">
                  <c:v>26.92</c:v>
                </c:pt>
                <c:pt idx="38">
                  <c:v>26.92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A6-4D78-AEB6-864D2C67A82B}"/>
            </c:ext>
          </c:extLst>
        </c:ser>
        <c:ser>
          <c:idx val="0"/>
          <c:order val="5"/>
          <c:tx>
            <c:strRef>
              <c:f>'bang so lieu (sua) (3)'!$A$7</c:f>
              <c:strCache>
                <c:ptCount val="1"/>
                <c:pt idx="0">
                  <c:v>ĐPPH 85% mới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(4)'!$C$23:$AO$23</c:f>
              <c:numCache>
                <c:formatCode>0.00</c:formatCode>
                <c:ptCount val="39"/>
                <c:pt idx="0">
                  <c:v>19</c:v>
                </c:pt>
                <c:pt idx="1">
                  <c:v>19.2</c:v>
                </c:pt>
                <c:pt idx="2">
                  <c:v>19.234999999999999</c:v>
                </c:pt>
                <c:pt idx="3">
                  <c:v>19.399999999999999</c:v>
                </c:pt>
                <c:pt idx="4">
                  <c:v>19.47</c:v>
                </c:pt>
                <c:pt idx="5">
                  <c:v>19.899999999999999</c:v>
                </c:pt>
                <c:pt idx="6">
                  <c:v>19.96</c:v>
                </c:pt>
                <c:pt idx="7">
                  <c:v>20.399999999999999</c:v>
                </c:pt>
                <c:pt idx="8">
                  <c:v>20.45</c:v>
                </c:pt>
                <c:pt idx="9">
                  <c:v>21.3</c:v>
                </c:pt>
                <c:pt idx="10">
                  <c:v>21.344999999999999</c:v>
                </c:pt>
                <c:pt idx="11">
                  <c:v>22.15</c:v>
                </c:pt>
                <c:pt idx="12">
                  <c:v>22.24</c:v>
                </c:pt>
                <c:pt idx="13">
                  <c:v>23</c:v>
                </c:pt>
                <c:pt idx="14">
                  <c:v>23.085000000000001</c:v>
                </c:pt>
                <c:pt idx="15">
                  <c:v>23.8</c:v>
                </c:pt>
                <c:pt idx="16">
                  <c:v>23.93</c:v>
                </c:pt>
                <c:pt idx="17">
                  <c:v>24.4</c:v>
                </c:pt>
                <c:pt idx="18">
                  <c:v>24.4</c:v>
                </c:pt>
                <c:pt idx="19">
                  <c:v>24.4</c:v>
                </c:pt>
                <c:pt idx="20">
                  <c:v>24.4</c:v>
                </c:pt>
                <c:pt idx="21">
                  <c:v>24.187096774193549</c:v>
                </c:pt>
                <c:pt idx="22">
                  <c:v>23.993548387096773</c:v>
                </c:pt>
                <c:pt idx="23">
                  <c:v>23.8</c:v>
                </c:pt>
                <c:pt idx="24">
                  <c:v>23.336428571428574</c:v>
                </c:pt>
                <c:pt idx="25">
                  <c:v>22.914999999999999</c:v>
                </c:pt>
                <c:pt idx="26">
                  <c:v>22.62</c:v>
                </c:pt>
                <c:pt idx="27">
                  <c:v>22.11967741935484</c:v>
                </c:pt>
                <c:pt idx="28">
                  <c:v>21.664838709677419</c:v>
                </c:pt>
                <c:pt idx="29">
                  <c:v>21.21</c:v>
                </c:pt>
                <c:pt idx="30">
                  <c:v>20.843333333333334</c:v>
                </c:pt>
                <c:pt idx="31">
                  <c:v>20.51</c:v>
                </c:pt>
                <c:pt idx="32">
                  <c:v>20.21</c:v>
                </c:pt>
                <c:pt idx="33">
                  <c:v>20.025483870967744</c:v>
                </c:pt>
                <c:pt idx="34">
                  <c:v>19.857741935483872</c:v>
                </c:pt>
                <c:pt idx="35">
                  <c:v>19.690000000000001</c:v>
                </c:pt>
                <c:pt idx="36">
                  <c:v>19.437000000000001</c:v>
                </c:pt>
                <c:pt idx="37">
                  <c:v>19.207000000000001</c:v>
                </c:pt>
                <c:pt idx="3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A6-4D78-AEB6-864D2C67A82B}"/>
            </c:ext>
          </c:extLst>
        </c:ser>
        <c:ser>
          <c:idx val="1"/>
          <c:order val="6"/>
          <c:tx>
            <c:strRef>
              <c:f>'bang so lieu (sua) (3)'!$A$8</c:f>
              <c:strCache>
                <c:ptCount val="1"/>
                <c:pt idx="0">
                  <c:v>HCCN 85% mới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(4)'!$C$24:$AO$24</c:f>
              <c:numCache>
                <c:formatCode>0.00</c:formatCode>
                <c:ptCount val="39"/>
                <c:pt idx="0">
                  <c:v>17</c:v>
                </c:pt>
                <c:pt idx="1">
                  <c:v>17.100000000000001</c:v>
                </c:pt>
                <c:pt idx="2">
                  <c:v>17.164999999999999</c:v>
                </c:pt>
                <c:pt idx="3">
                  <c:v>17.25</c:v>
                </c:pt>
                <c:pt idx="4">
                  <c:v>17.329999999999998</c:v>
                </c:pt>
                <c:pt idx="5">
                  <c:v>17.600000000000001</c:v>
                </c:pt>
                <c:pt idx="6">
                  <c:v>17.564999999999998</c:v>
                </c:pt>
                <c:pt idx="7">
                  <c:v>17.7</c:v>
                </c:pt>
                <c:pt idx="8">
                  <c:v>17.8</c:v>
                </c:pt>
                <c:pt idx="9">
                  <c:v>18.600000000000001</c:v>
                </c:pt>
                <c:pt idx="10">
                  <c:v>18.68</c:v>
                </c:pt>
                <c:pt idx="11">
                  <c:v>19.5</c:v>
                </c:pt>
                <c:pt idx="12">
                  <c:v>19.559999999999999</c:v>
                </c:pt>
                <c:pt idx="13">
                  <c:v>20.25</c:v>
                </c:pt>
                <c:pt idx="14">
                  <c:v>20.38</c:v>
                </c:pt>
                <c:pt idx="15">
                  <c:v>21.1</c:v>
                </c:pt>
                <c:pt idx="16">
                  <c:v>21.2</c:v>
                </c:pt>
                <c:pt idx="17">
                  <c:v>21.67</c:v>
                </c:pt>
                <c:pt idx="18">
                  <c:v>21.6</c:v>
                </c:pt>
                <c:pt idx="19">
                  <c:v>21.55</c:v>
                </c:pt>
                <c:pt idx="20">
                  <c:v>21.5</c:v>
                </c:pt>
                <c:pt idx="21">
                  <c:v>21.21</c:v>
                </c:pt>
                <c:pt idx="22">
                  <c:v>21.03</c:v>
                </c:pt>
                <c:pt idx="23">
                  <c:v>20.81</c:v>
                </c:pt>
                <c:pt idx="24">
                  <c:v>20.51</c:v>
                </c:pt>
                <c:pt idx="25">
                  <c:v>20.21</c:v>
                </c:pt>
                <c:pt idx="26">
                  <c:v>19.97</c:v>
                </c:pt>
                <c:pt idx="27">
                  <c:v>19.46</c:v>
                </c:pt>
                <c:pt idx="28">
                  <c:v>19.03</c:v>
                </c:pt>
                <c:pt idx="29">
                  <c:v>18.59</c:v>
                </c:pt>
                <c:pt idx="30">
                  <c:v>18.28</c:v>
                </c:pt>
                <c:pt idx="31">
                  <c:v>17.98</c:v>
                </c:pt>
                <c:pt idx="32">
                  <c:v>17.7</c:v>
                </c:pt>
                <c:pt idx="33">
                  <c:v>17.48</c:v>
                </c:pt>
                <c:pt idx="34">
                  <c:v>17.45</c:v>
                </c:pt>
                <c:pt idx="35">
                  <c:v>17.399999999999999</c:v>
                </c:pt>
                <c:pt idx="36">
                  <c:v>17.38</c:v>
                </c:pt>
                <c:pt idx="37">
                  <c:v>17.350000000000001</c:v>
                </c:pt>
                <c:pt idx="38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A6-4D78-AEB6-864D2C67A82B}"/>
            </c:ext>
          </c:extLst>
        </c:ser>
        <c:ser>
          <c:idx val="4"/>
          <c:order val="7"/>
          <c:tx>
            <c:strRef>
              <c:f>'bang so lieu (sua) (3)'!$A$12</c:f>
              <c:strCache>
                <c:ptCount val="1"/>
                <c:pt idx="0">
                  <c:v>ĐPL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'bang so lieu (sua) (4)'!$C$1:$AO$1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(4)'!$C$28:$T$28</c:f>
              <c:numCache>
                <c:formatCode>0.00</c:formatCode>
                <c:ptCount val="18"/>
                <c:pt idx="0">
                  <c:v>20.3</c:v>
                </c:pt>
                <c:pt idx="1">
                  <c:v>20.3</c:v>
                </c:pt>
                <c:pt idx="2">
                  <c:v>21.2</c:v>
                </c:pt>
                <c:pt idx="3">
                  <c:v>21.2</c:v>
                </c:pt>
                <c:pt idx="4">
                  <c:v>22.1</c:v>
                </c:pt>
                <c:pt idx="5">
                  <c:v>22.1</c:v>
                </c:pt>
                <c:pt idx="6">
                  <c:v>22.7</c:v>
                </c:pt>
                <c:pt idx="7">
                  <c:v>22.7</c:v>
                </c:pt>
                <c:pt idx="8">
                  <c:v>23.3</c:v>
                </c:pt>
                <c:pt idx="9">
                  <c:v>23.3</c:v>
                </c:pt>
                <c:pt idx="10">
                  <c:v>23.65</c:v>
                </c:pt>
                <c:pt idx="11">
                  <c:v>23.65</c:v>
                </c:pt>
                <c:pt idx="12">
                  <c:v>24</c:v>
                </c:pt>
                <c:pt idx="13">
                  <c:v>24</c:v>
                </c:pt>
                <c:pt idx="14">
                  <c:v>24.4</c:v>
                </c:pt>
                <c:pt idx="15">
                  <c:v>24.4</c:v>
                </c:pt>
                <c:pt idx="16">
                  <c:v>24.4</c:v>
                </c:pt>
                <c:pt idx="17">
                  <c:v>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A6-4D78-AEB6-864D2C67A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924760"/>
        <c:axId val="1"/>
      </c:lineChart>
      <c:dateAx>
        <c:axId val="54692476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Ngày/ Tháng</a:t>
                </a:r>
              </a:p>
            </c:rich>
          </c:tx>
          <c:layout>
            <c:manualLayout>
              <c:xMode val="edge"/>
              <c:yMode val="edge"/>
              <c:x val="0.87797306543578602"/>
              <c:y val="0.89830512397836126"/>
            </c:manualLayout>
          </c:layout>
          <c:overlay val="0"/>
          <c:spPr>
            <a:noFill/>
            <a:ln w="25400">
              <a:noFill/>
            </a:ln>
          </c:spPr>
        </c:title>
        <c:numFmt formatCode="d/m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16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"/>
        <c:scaling>
          <c:orientation val="minMax"/>
          <c:max val="28"/>
          <c:min val="17"/>
        </c:scaling>
        <c:delete val="0"/>
        <c:axPos val="l"/>
        <c:majorGridlines>
          <c:spPr>
            <a:ln w="12700">
              <a:solidFill>
                <a:srgbClr val="80808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vi-VN"/>
                  <a:t>Mực nước H (m)</a:t>
                </a:r>
              </a:p>
            </c:rich>
          </c:tx>
          <c:layout>
            <c:manualLayout>
              <c:xMode val="edge"/>
              <c:yMode val="edge"/>
              <c:x val="1.4428346456692913E-2"/>
              <c:y val="0.4143555934932771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6924760"/>
        <c:crosses val="autoZero"/>
        <c:crossBetween val="midCat"/>
        <c:majorUnit val="1"/>
        <c:minorUnit val="0.5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vi-VN"/>
              <a:t>BIỂU ĐỒ SO SÁNH BIỂU ĐỒ ĐIỀU PHỐI HỒ CHỨA NƯỚC DẦU TIẾNG ỨNG VỚI 
(Quy trình vận hành liên hồ theo QĐ 1895 và Xây dựng mới)</a:t>
            </a:r>
          </a:p>
        </c:rich>
      </c:tx>
      <c:layout>
        <c:manualLayout>
          <c:xMode val="edge"/>
          <c:yMode val="edge"/>
          <c:x val="0.14349284932971795"/>
          <c:y val="1.97044352506784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49948293691834E-2"/>
          <c:y val="0.13220338983050847"/>
          <c:w val="0.90072388831437433"/>
          <c:h val="0.70677966101694911"/>
        </c:manualLayout>
      </c:layout>
      <c:lineChart>
        <c:grouping val="standard"/>
        <c:varyColors val="0"/>
        <c:ser>
          <c:idx val="34"/>
          <c:order val="0"/>
          <c:tx>
            <c:strRef>
              <c:f>'bang so lieu (sua) (3)'!$A$2</c:f>
              <c:strCache>
                <c:ptCount val="1"/>
                <c:pt idx="0">
                  <c:v>MNC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'bang so lieu (sua) (3)'!$B$1:$AN$1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(3)'!$B$2:$AN$2</c:f>
              <c:numCache>
                <c:formatCode>0.00</c:formatCode>
                <c:ptCount val="39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A-44F5-81F3-4A0CA39CFC1F}"/>
            </c:ext>
          </c:extLst>
        </c:ser>
        <c:ser>
          <c:idx val="35"/>
          <c:order val="1"/>
          <c:tx>
            <c:strRef>
              <c:f>'bang so lieu (sua) (3)'!$A$3</c:f>
              <c:strCache>
                <c:ptCount val="1"/>
                <c:pt idx="0">
                  <c:v>MNDBT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'bang so lieu (sua) (3)'!$B$1:$AN$1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(3)'!$B$3:$AN$3</c:f>
              <c:numCache>
                <c:formatCode>0.00</c:formatCode>
                <c:ptCount val="39"/>
                <c:pt idx="0">
                  <c:v>24.4</c:v>
                </c:pt>
                <c:pt idx="1">
                  <c:v>24.4</c:v>
                </c:pt>
                <c:pt idx="2">
                  <c:v>24.4</c:v>
                </c:pt>
                <c:pt idx="3">
                  <c:v>24.4</c:v>
                </c:pt>
                <c:pt idx="4">
                  <c:v>24.4</c:v>
                </c:pt>
                <c:pt idx="5">
                  <c:v>24.4</c:v>
                </c:pt>
                <c:pt idx="6">
                  <c:v>24.4</c:v>
                </c:pt>
                <c:pt idx="7">
                  <c:v>24.4</c:v>
                </c:pt>
                <c:pt idx="8">
                  <c:v>24.4</c:v>
                </c:pt>
                <c:pt idx="9">
                  <c:v>24.4</c:v>
                </c:pt>
                <c:pt idx="10">
                  <c:v>24.4</c:v>
                </c:pt>
                <c:pt idx="11">
                  <c:v>24.4</c:v>
                </c:pt>
                <c:pt idx="12">
                  <c:v>24.4</c:v>
                </c:pt>
                <c:pt idx="13">
                  <c:v>24.4</c:v>
                </c:pt>
                <c:pt idx="14">
                  <c:v>24.4</c:v>
                </c:pt>
                <c:pt idx="15">
                  <c:v>24.4</c:v>
                </c:pt>
                <c:pt idx="16">
                  <c:v>24.4</c:v>
                </c:pt>
                <c:pt idx="17">
                  <c:v>24.4</c:v>
                </c:pt>
                <c:pt idx="18">
                  <c:v>24.4</c:v>
                </c:pt>
                <c:pt idx="19">
                  <c:v>24.4</c:v>
                </c:pt>
                <c:pt idx="20">
                  <c:v>24.4</c:v>
                </c:pt>
                <c:pt idx="21">
                  <c:v>24.4</c:v>
                </c:pt>
                <c:pt idx="22">
                  <c:v>24.4</c:v>
                </c:pt>
                <c:pt idx="23">
                  <c:v>24.4</c:v>
                </c:pt>
                <c:pt idx="24">
                  <c:v>24.4</c:v>
                </c:pt>
                <c:pt idx="25">
                  <c:v>24.4</c:v>
                </c:pt>
                <c:pt idx="26">
                  <c:v>24.4</c:v>
                </c:pt>
                <c:pt idx="27">
                  <c:v>24.4</c:v>
                </c:pt>
                <c:pt idx="28">
                  <c:v>24.4</c:v>
                </c:pt>
                <c:pt idx="29">
                  <c:v>24.4</c:v>
                </c:pt>
                <c:pt idx="30">
                  <c:v>24.4</c:v>
                </c:pt>
                <c:pt idx="31">
                  <c:v>24.4</c:v>
                </c:pt>
                <c:pt idx="32">
                  <c:v>24.4</c:v>
                </c:pt>
                <c:pt idx="33">
                  <c:v>24.4</c:v>
                </c:pt>
                <c:pt idx="34">
                  <c:v>24.4</c:v>
                </c:pt>
                <c:pt idx="35">
                  <c:v>24.4</c:v>
                </c:pt>
                <c:pt idx="36">
                  <c:v>24.4</c:v>
                </c:pt>
                <c:pt idx="37">
                  <c:v>24.4</c:v>
                </c:pt>
                <c:pt idx="38">
                  <c:v>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A-44F5-81F3-4A0CA39CFC1F}"/>
            </c:ext>
          </c:extLst>
        </c:ser>
        <c:ser>
          <c:idx val="36"/>
          <c:order val="2"/>
          <c:tx>
            <c:strRef>
              <c:f>'bang so lieu (sua) (3)'!$A$4</c:f>
              <c:strCache>
                <c:ptCount val="1"/>
                <c:pt idx="0">
                  <c:v>MNTK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'bang so lieu (sua) (3)'!$B$1:$AN$1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(3)'!$B$4:$AN$4</c:f>
              <c:numCache>
                <c:formatCode>0.00</c:formatCode>
                <c:ptCount val="39"/>
                <c:pt idx="0">
                  <c:v>25.1</c:v>
                </c:pt>
                <c:pt idx="1">
                  <c:v>25.1</c:v>
                </c:pt>
                <c:pt idx="2">
                  <c:v>25.1</c:v>
                </c:pt>
                <c:pt idx="3">
                  <c:v>25.1</c:v>
                </c:pt>
                <c:pt idx="4">
                  <c:v>25.1</c:v>
                </c:pt>
                <c:pt idx="5">
                  <c:v>25.1</c:v>
                </c:pt>
                <c:pt idx="6">
                  <c:v>25.1</c:v>
                </c:pt>
                <c:pt idx="7">
                  <c:v>25.1</c:v>
                </c:pt>
                <c:pt idx="8">
                  <c:v>25.1</c:v>
                </c:pt>
                <c:pt idx="9">
                  <c:v>25.1</c:v>
                </c:pt>
                <c:pt idx="10">
                  <c:v>25.1</c:v>
                </c:pt>
                <c:pt idx="11">
                  <c:v>25.1</c:v>
                </c:pt>
                <c:pt idx="12">
                  <c:v>25.1</c:v>
                </c:pt>
                <c:pt idx="13">
                  <c:v>25.1</c:v>
                </c:pt>
                <c:pt idx="14">
                  <c:v>25.1</c:v>
                </c:pt>
                <c:pt idx="15">
                  <c:v>25.1</c:v>
                </c:pt>
                <c:pt idx="16">
                  <c:v>25.1</c:v>
                </c:pt>
                <c:pt idx="17">
                  <c:v>25.1</c:v>
                </c:pt>
                <c:pt idx="18">
                  <c:v>25.1</c:v>
                </c:pt>
                <c:pt idx="19">
                  <c:v>25.1</c:v>
                </c:pt>
                <c:pt idx="20">
                  <c:v>25.1</c:v>
                </c:pt>
                <c:pt idx="21">
                  <c:v>25.1</c:v>
                </c:pt>
                <c:pt idx="22">
                  <c:v>25.1</c:v>
                </c:pt>
                <c:pt idx="23">
                  <c:v>25.1</c:v>
                </c:pt>
                <c:pt idx="24">
                  <c:v>25.1</c:v>
                </c:pt>
                <c:pt idx="25">
                  <c:v>25.1</c:v>
                </c:pt>
                <c:pt idx="26">
                  <c:v>25.1</c:v>
                </c:pt>
                <c:pt idx="27">
                  <c:v>25.1</c:v>
                </c:pt>
                <c:pt idx="28">
                  <c:v>25.1</c:v>
                </c:pt>
                <c:pt idx="29">
                  <c:v>25.1</c:v>
                </c:pt>
                <c:pt idx="30">
                  <c:v>25.1</c:v>
                </c:pt>
                <c:pt idx="31">
                  <c:v>25.1</c:v>
                </c:pt>
                <c:pt idx="32">
                  <c:v>25.1</c:v>
                </c:pt>
                <c:pt idx="33">
                  <c:v>25.1</c:v>
                </c:pt>
                <c:pt idx="34">
                  <c:v>25.1</c:v>
                </c:pt>
                <c:pt idx="35">
                  <c:v>25.1</c:v>
                </c:pt>
                <c:pt idx="36">
                  <c:v>25.1</c:v>
                </c:pt>
                <c:pt idx="37">
                  <c:v>25.1</c:v>
                </c:pt>
                <c:pt idx="38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0A-44F5-81F3-4A0CA39CFC1F}"/>
            </c:ext>
          </c:extLst>
        </c:ser>
        <c:ser>
          <c:idx val="38"/>
          <c:order val="3"/>
          <c:tx>
            <c:strRef>
              <c:f>'bang so lieu (sua) (3)'!$A$5</c:f>
              <c:strCache>
                <c:ptCount val="1"/>
                <c:pt idx="0">
                  <c:v>HĐĐ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'bang so lieu (sua) (3)'!$B$1:$AN$1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(3)'!$B$5:$AN$5</c:f>
              <c:numCache>
                <c:formatCode>0.00</c:formatCode>
                <c:ptCount val="39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0A-44F5-81F3-4A0CA39CFC1F}"/>
            </c:ext>
          </c:extLst>
        </c:ser>
        <c:ser>
          <c:idx val="39"/>
          <c:order val="4"/>
          <c:tx>
            <c:strRef>
              <c:f>'bang so lieu (sua) (3)'!$A$6</c:f>
              <c:strCache>
                <c:ptCount val="1"/>
                <c:pt idx="0">
                  <c:v>HKT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'bang so lieu (sua) (3)'!$B$1:$AN$1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(3)'!$B$6:$AN$6</c:f>
              <c:numCache>
                <c:formatCode>0.00</c:formatCode>
                <c:ptCount val="39"/>
                <c:pt idx="0">
                  <c:v>26.92</c:v>
                </c:pt>
                <c:pt idx="1">
                  <c:v>26.92</c:v>
                </c:pt>
                <c:pt idx="2">
                  <c:v>26.92</c:v>
                </c:pt>
                <c:pt idx="3">
                  <c:v>26.92</c:v>
                </c:pt>
                <c:pt idx="4">
                  <c:v>26.92</c:v>
                </c:pt>
                <c:pt idx="5">
                  <c:v>26.92</c:v>
                </c:pt>
                <c:pt idx="6">
                  <c:v>26.92</c:v>
                </c:pt>
                <c:pt idx="7">
                  <c:v>26.92</c:v>
                </c:pt>
                <c:pt idx="8">
                  <c:v>26.92</c:v>
                </c:pt>
                <c:pt idx="9">
                  <c:v>26.92</c:v>
                </c:pt>
                <c:pt idx="10">
                  <c:v>26.92</c:v>
                </c:pt>
                <c:pt idx="11">
                  <c:v>26.92</c:v>
                </c:pt>
                <c:pt idx="12">
                  <c:v>26.92</c:v>
                </c:pt>
                <c:pt idx="13">
                  <c:v>26.92</c:v>
                </c:pt>
                <c:pt idx="14">
                  <c:v>26.92</c:v>
                </c:pt>
                <c:pt idx="15">
                  <c:v>26.92</c:v>
                </c:pt>
                <c:pt idx="16">
                  <c:v>26.92</c:v>
                </c:pt>
                <c:pt idx="17">
                  <c:v>26.92</c:v>
                </c:pt>
                <c:pt idx="18">
                  <c:v>26.92</c:v>
                </c:pt>
                <c:pt idx="19">
                  <c:v>26.92</c:v>
                </c:pt>
                <c:pt idx="20">
                  <c:v>26.92</c:v>
                </c:pt>
                <c:pt idx="21">
                  <c:v>26.92</c:v>
                </c:pt>
                <c:pt idx="22">
                  <c:v>26.92</c:v>
                </c:pt>
                <c:pt idx="23">
                  <c:v>26.92</c:v>
                </c:pt>
                <c:pt idx="24">
                  <c:v>26.92</c:v>
                </c:pt>
                <c:pt idx="25">
                  <c:v>26.92</c:v>
                </c:pt>
                <c:pt idx="26">
                  <c:v>26.92</c:v>
                </c:pt>
                <c:pt idx="27">
                  <c:v>26.92</c:v>
                </c:pt>
                <c:pt idx="28">
                  <c:v>26.92</c:v>
                </c:pt>
                <c:pt idx="29">
                  <c:v>26.92</c:v>
                </c:pt>
                <c:pt idx="30">
                  <c:v>26.92</c:v>
                </c:pt>
                <c:pt idx="31">
                  <c:v>26.92</c:v>
                </c:pt>
                <c:pt idx="32">
                  <c:v>26.92</c:v>
                </c:pt>
                <c:pt idx="33">
                  <c:v>26.92</c:v>
                </c:pt>
                <c:pt idx="34">
                  <c:v>26.92</c:v>
                </c:pt>
                <c:pt idx="35">
                  <c:v>26.92</c:v>
                </c:pt>
                <c:pt idx="36">
                  <c:v>26.92</c:v>
                </c:pt>
                <c:pt idx="37">
                  <c:v>26.92</c:v>
                </c:pt>
                <c:pt idx="38">
                  <c:v>26.92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0A-44F5-81F3-4A0CA39CFC1F}"/>
            </c:ext>
          </c:extLst>
        </c:ser>
        <c:ser>
          <c:idx val="0"/>
          <c:order val="5"/>
          <c:tx>
            <c:strRef>
              <c:f>'bang so lieu (sua) (3)'!$A$7</c:f>
              <c:strCache>
                <c:ptCount val="1"/>
                <c:pt idx="0">
                  <c:v>ĐPPH 85% mới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'bang so lieu (sua) (3)'!$B$1:$AN$1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(3)'!$B$7:$AN$7</c:f>
              <c:numCache>
                <c:formatCode>0.00</c:formatCode>
                <c:ptCount val="39"/>
                <c:pt idx="0">
                  <c:v>19</c:v>
                </c:pt>
                <c:pt idx="1">
                  <c:v>19</c:v>
                </c:pt>
                <c:pt idx="2">
                  <c:v>19.234999999999999</c:v>
                </c:pt>
                <c:pt idx="3">
                  <c:v>19.234999999999999</c:v>
                </c:pt>
                <c:pt idx="4">
                  <c:v>19.47</c:v>
                </c:pt>
                <c:pt idx="5">
                  <c:v>19.47</c:v>
                </c:pt>
                <c:pt idx="6">
                  <c:v>19.96</c:v>
                </c:pt>
                <c:pt idx="7">
                  <c:v>19.96</c:v>
                </c:pt>
                <c:pt idx="8">
                  <c:v>20.45</c:v>
                </c:pt>
                <c:pt idx="9">
                  <c:v>20.45</c:v>
                </c:pt>
                <c:pt idx="10">
                  <c:v>21.344999999999999</c:v>
                </c:pt>
                <c:pt idx="11">
                  <c:v>21.344999999999999</c:v>
                </c:pt>
                <c:pt idx="12">
                  <c:v>22.24</c:v>
                </c:pt>
                <c:pt idx="13">
                  <c:v>22.24</c:v>
                </c:pt>
                <c:pt idx="14">
                  <c:v>23.085000000000001</c:v>
                </c:pt>
                <c:pt idx="15">
                  <c:v>23.085000000000001</c:v>
                </c:pt>
                <c:pt idx="16">
                  <c:v>23.93</c:v>
                </c:pt>
                <c:pt idx="17">
                  <c:v>24.4</c:v>
                </c:pt>
                <c:pt idx="18">
                  <c:v>24.4</c:v>
                </c:pt>
                <c:pt idx="19">
                  <c:v>24.4</c:v>
                </c:pt>
                <c:pt idx="20">
                  <c:v>24.4</c:v>
                </c:pt>
                <c:pt idx="21">
                  <c:v>24.187096774193549</c:v>
                </c:pt>
                <c:pt idx="22">
                  <c:v>23.993548387096773</c:v>
                </c:pt>
                <c:pt idx="23">
                  <c:v>23.8</c:v>
                </c:pt>
                <c:pt idx="24">
                  <c:v>23.336428571428574</c:v>
                </c:pt>
                <c:pt idx="25">
                  <c:v>22.914999999999999</c:v>
                </c:pt>
                <c:pt idx="26">
                  <c:v>22.62</c:v>
                </c:pt>
                <c:pt idx="27">
                  <c:v>22.11967741935484</c:v>
                </c:pt>
                <c:pt idx="28">
                  <c:v>21.664838709677419</c:v>
                </c:pt>
                <c:pt idx="29">
                  <c:v>21.21</c:v>
                </c:pt>
                <c:pt idx="30">
                  <c:v>20.843333333333334</c:v>
                </c:pt>
                <c:pt idx="31">
                  <c:v>20.51</c:v>
                </c:pt>
                <c:pt idx="32">
                  <c:v>20.21</c:v>
                </c:pt>
                <c:pt idx="33">
                  <c:v>20.025483870967744</c:v>
                </c:pt>
                <c:pt idx="34">
                  <c:v>19.857741935483872</c:v>
                </c:pt>
                <c:pt idx="35">
                  <c:v>19.690000000000001</c:v>
                </c:pt>
                <c:pt idx="36">
                  <c:v>19.437000000000001</c:v>
                </c:pt>
                <c:pt idx="37">
                  <c:v>19.207000000000001</c:v>
                </c:pt>
                <c:pt idx="3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0A-44F5-81F3-4A0CA39CFC1F}"/>
            </c:ext>
          </c:extLst>
        </c:ser>
        <c:ser>
          <c:idx val="1"/>
          <c:order val="6"/>
          <c:tx>
            <c:strRef>
              <c:f>'bang so lieu (sua) (3)'!$A$8</c:f>
              <c:strCache>
                <c:ptCount val="1"/>
                <c:pt idx="0">
                  <c:v>HCCN 85% mới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'bang so lieu (sua) (3)'!$B$1:$AN$1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(3)'!$B$8:$AN$8</c:f>
              <c:numCache>
                <c:formatCode>0.00</c:formatCode>
                <c:ptCount val="39"/>
                <c:pt idx="0">
                  <c:v>17</c:v>
                </c:pt>
                <c:pt idx="1">
                  <c:v>17</c:v>
                </c:pt>
                <c:pt idx="2">
                  <c:v>17.164999999999999</c:v>
                </c:pt>
                <c:pt idx="3">
                  <c:v>17.164999999999999</c:v>
                </c:pt>
                <c:pt idx="4">
                  <c:v>17.329999999999998</c:v>
                </c:pt>
                <c:pt idx="5">
                  <c:v>17.329999999999998</c:v>
                </c:pt>
                <c:pt idx="6">
                  <c:v>17.564999999999998</c:v>
                </c:pt>
                <c:pt idx="7">
                  <c:v>17.564999999999998</c:v>
                </c:pt>
                <c:pt idx="8">
                  <c:v>17.8</c:v>
                </c:pt>
                <c:pt idx="9">
                  <c:v>17.8</c:v>
                </c:pt>
                <c:pt idx="10">
                  <c:v>18.68</c:v>
                </c:pt>
                <c:pt idx="11">
                  <c:v>18.68</c:v>
                </c:pt>
                <c:pt idx="12">
                  <c:v>19.559999999999999</c:v>
                </c:pt>
                <c:pt idx="13">
                  <c:v>19.559999999999999</c:v>
                </c:pt>
                <c:pt idx="14">
                  <c:v>20.38</c:v>
                </c:pt>
                <c:pt idx="15">
                  <c:v>20.38</c:v>
                </c:pt>
                <c:pt idx="16">
                  <c:v>21.2</c:v>
                </c:pt>
                <c:pt idx="17">
                  <c:v>21.67</c:v>
                </c:pt>
                <c:pt idx="18">
                  <c:v>21.6</c:v>
                </c:pt>
                <c:pt idx="19">
                  <c:v>21.55</c:v>
                </c:pt>
                <c:pt idx="20">
                  <c:v>21.5</c:v>
                </c:pt>
                <c:pt idx="21">
                  <c:v>21.21</c:v>
                </c:pt>
                <c:pt idx="22">
                  <c:v>21.03</c:v>
                </c:pt>
                <c:pt idx="23">
                  <c:v>20.81</c:v>
                </c:pt>
                <c:pt idx="24">
                  <c:v>20.51</c:v>
                </c:pt>
                <c:pt idx="25">
                  <c:v>20.21</c:v>
                </c:pt>
                <c:pt idx="26">
                  <c:v>19.97</c:v>
                </c:pt>
                <c:pt idx="27">
                  <c:v>19.46</c:v>
                </c:pt>
                <c:pt idx="28">
                  <c:v>19.03</c:v>
                </c:pt>
                <c:pt idx="29">
                  <c:v>18.59</c:v>
                </c:pt>
                <c:pt idx="30">
                  <c:v>18.28</c:v>
                </c:pt>
                <c:pt idx="31">
                  <c:v>17.98</c:v>
                </c:pt>
                <c:pt idx="32">
                  <c:v>17.7</c:v>
                </c:pt>
                <c:pt idx="33">
                  <c:v>17.48</c:v>
                </c:pt>
                <c:pt idx="34">
                  <c:v>17.45</c:v>
                </c:pt>
                <c:pt idx="35">
                  <c:v>17.399999999999999</c:v>
                </c:pt>
                <c:pt idx="36">
                  <c:v>17.38</c:v>
                </c:pt>
                <c:pt idx="37">
                  <c:v>17.350000000000001</c:v>
                </c:pt>
                <c:pt idx="38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0A-44F5-81F3-4A0CA39CFC1F}"/>
            </c:ext>
          </c:extLst>
        </c:ser>
        <c:ser>
          <c:idx val="2"/>
          <c:order val="7"/>
          <c:tx>
            <c:strRef>
              <c:f>'bang so lieu (sua) (3)'!$A$9</c:f>
              <c:strCache>
                <c:ptCount val="1"/>
                <c:pt idx="0">
                  <c:v>ĐPPH QT vận hành liên hồ</c:v>
                </c:pt>
              </c:strCache>
            </c:strRef>
          </c:tx>
          <c:spPr>
            <a:ln w="38100">
              <a:solidFill>
                <a:srgbClr val="993366"/>
              </a:solidFill>
              <a:prstDash val="sysDash"/>
            </a:ln>
          </c:spPr>
          <c:marker>
            <c:symbol val="triangle"/>
            <c:size val="6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'bang so lieu (sua) (3)'!$B$1:$AN$1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(3)'!$B$9:$AN$9</c:f>
              <c:numCache>
                <c:formatCode>0.00</c:formatCode>
                <c:ptCount val="39"/>
                <c:pt idx="17">
                  <c:v>24.4</c:v>
                </c:pt>
                <c:pt idx="18">
                  <c:v>24.24</c:v>
                </c:pt>
                <c:pt idx="19">
                  <c:v>24.09</c:v>
                </c:pt>
                <c:pt idx="20">
                  <c:v>23.93</c:v>
                </c:pt>
                <c:pt idx="21">
                  <c:v>23.62</c:v>
                </c:pt>
                <c:pt idx="22">
                  <c:v>23.3</c:v>
                </c:pt>
                <c:pt idx="23">
                  <c:v>22.99</c:v>
                </c:pt>
                <c:pt idx="24">
                  <c:v>22.64</c:v>
                </c:pt>
                <c:pt idx="25">
                  <c:v>22.28</c:v>
                </c:pt>
                <c:pt idx="26">
                  <c:v>21.93</c:v>
                </c:pt>
                <c:pt idx="27">
                  <c:v>21.55</c:v>
                </c:pt>
                <c:pt idx="28">
                  <c:v>21.26</c:v>
                </c:pt>
                <c:pt idx="29">
                  <c:v>20.78</c:v>
                </c:pt>
                <c:pt idx="30">
                  <c:v>20.51</c:v>
                </c:pt>
                <c:pt idx="31">
                  <c:v>20.23</c:v>
                </c:pt>
                <c:pt idx="32">
                  <c:v>19.96</c:v>
                </c:pt>
                <c:pt idx="33">
                  <c:v>19.78</c:v>
                </c:pt>
                <c:pt idx="34">
                  <c:v>19.61</c:v>
                </c:pt>
                <c:pt idx="35">
                  <c:v>19.43</c:v>
                </c:pt>
                <c:pt idx="36">
                  <c:v>19.22</c:v>
                </c:pt>
                <c:pt idx="37">
                  <c:v>19</c:v>
                </c:pt>
                <c:pt idx="3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0A-44F5-81F3-4A0CA39CFC1F}"/>
            </c:ext>
          </c:extLst>
        </c:ser>
        <c:ser>
          <c:idx val="3"/>
          <c:order val="8"/>
          <c:tx>
            <c:strRef>
              <c:f>'bang so lieu (sua) (3)'!$A$10</c:f>
              <c:strCache>
                <c:ptCount val="1"/>
                <c:pt idx="0">
                  <c:v>ĐHCCN QT vận hành liên hồ</c:v>
                </c:pt>
              </c:strCache>
            </c:strRef>
          </c:tx>
          <c:spPr>
            <a:ln w="38100">
              <a:solidFill>
                <a:srgbClr val="00FFFF"/>
              </a:solidFill>
              <a:prstDash val="sysDash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'bang so lieu (sua) (3)'!$B$1:$AN$1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(3)'!$B$10:$AN$10</c:f>
              <c:numCache>
                <c:formatCode>0.00</c:formatCode>
                <c:ptCount val="39"/>
                <c:pt idx="17">
                  <c:v>21.67</c:v>
                </c:pt>
                <c:pt idx="18">
                  <c:v>21.6</c:v>
                </c:pt>
                <c:pt idx="19">
                  <c:v>21.55</c:v>
                </c:pt>
                <c:pt idx="20">
                  <c:v>21.5</c:v>
                </c:pt>
                <c:pt idx="21">
                  <c:v>21.21</c:v>
                </c:pt>
                <c:pt idx="22">
                  <c:v>21.03</c:v>
                </c:pt>
                <c:pt idx="23">
                  <c:v>20.81</c:v>
                </c:pt>
                <c:pt idx="24">
                  <c:v>20.51</c:v>
                </c:pt>
                <c:pt idx="25">
                  <c:v>20.21</c:v>
                </c:pt>
                <c:pt idx="26">
                  <c:v>19.97</c:v>
                </c:pt>
                <c:pt idx="27">
                  <c:v>19.46</c:v>
                </c:pt>
                <c:pt idx="28">
                  <c:v>19.03</c:v>
                </c:pt>
                <c:pt idx="29">
                  <c:v>18.59</c:v>
                </c:pt>
                <c:pt idx="30">
                  <c:v>18.28</c:v>
                </c:pt>
                <c:pt idx="31">
                  <c:v>17.98</c:v>
                </c:pt>
                <c:pt idx="32">
                  <c:v>17.7</c:v>
                </c:pt>
                <c:pt idx="33">
                  <c:v>17.48</c:v>
                </c:pt>
                <c:pt idx="34">
                  <c:v>17.45</c:v>
                </c:pt>
                <c:pt idx="35">
                  <c:v>17.399999999999999</c:v>
                </c:pt>
                <c:pt idx="36">
                  <c:v>17.38</c:v>
                </c:pt>
                <c:pt idx="37">
                  <c:v>17.350000000000001</c:v>
                </c:pt>
                <c:pt idx="38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0A-44F5-81F3-4A0CA39CFC1F}"/>
            </c:ext>
          </c:extLst>
        </c:ser>
        <c:ser>
          <c:idx val="4"/>
          <c:order val="9"/>
          <c:tx>
            <c:strRef>
              <c:f>'bang so lieu (sua) (3)'!$A$12</c:f>
              <c:strCache>
                <c:ptCount val="1"/>
                <c:pt idx="0">
                  <c:v>ĐPL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'bang so lieu (sua) (3)'!$B$1:$AN$1</c:f>
              <c:numCache>
                <c:formatCode>m/d;@</c:formatCode>
                <c:ptCount val="39"/>
                <c:pt idx="0">
                  <c:v>41456</c:v>
                </c:pt>
                <c:pt idx="1">
                  <c:v>41470</c:v>
                </c:pt>
                <c:pt idx="2">
                  <c:v>41471</c:v>
                </c:pt>
                <c:pt idx="3">
                  <c:v>41486</c:v>
                </c:pt>
                <c:pt idx="4">
                  <c:v>41487</c:v>
                </c:pt>
                <c:pt idx="5">
                  <c:v>41501</c:v>
                </c:pt>
                <c:pt idx="6">
                  <c:v>41502</c:v>
                </c:pt>
                <c:pt idx="7">
                  <c:v>41517</c:v>
                </c:pt>
                <c:pt idx="8">
                  <c:v>41518</c:v>
                </c:pt>
                <c:pt idx="9">
                  <c:v>41532</c:v>
                </c:pt>
                <c:pt idx="10">
                  <c:v>41533</c:v>
                </c:pt>
                <c:pt idx="11">
                  <c:v>41547</c:v>
                </c:pt>
                <c:pt idx="12">
                  <c:v>41548</c:v>
                </c:pt>
                <c:pt idx="13">
                  <c:v>41562</c:v>
                </c:pt>
                <c:pt idx="14">
                  <c:v>41563</c:v>
                </c:pt>
                <c:pt idx="15">
                  <c:v>41578</c:v>
                </c:pt>
                <c:pt idx="16">
                  <c:v>41579</c:v>
                </c:pt>
                <c:pt idx="17">
                  <c:v>41609</c:v>
                </c:pt>
                <c:pt idx="18">
                  <c:v>41619</c:v>
                </c:pt>
                <c:pt idx="19">
                  <c:v>41629</c:v>
                </c:pt>
                <c:pt idx="20">
                  <c:v>41640</c:v>
                </c:pt>
                <c:pt idx="21">
                  <c:v>41650</c:v>
                </c:pt>
                <c:pt idx="22">
                  <c:v>41660</c:v>
                </c:pt>
                <c:pt idx="23">
                  <c:v>41671</c:v>
                </c:pt>
                <c:pt idx="24">
                  <c:v>41681</c:v>
                </c:pt>
                <c:pt idx="25">
                  <c:v>41691</c:v>
                </c:pt>
                <c:pt idx="26">
                  <c:v>41699</c:v>
                </c:pt>
                <c:pt idx="27">
                  <c:v>41709</c:v>
                </c:pt>
                <c:pt idx="28">
                  <c:v>41719</c:v>
                </c:pt>
                <c:pt idx="29">
                  <c:v>41730</c:v>
                </c:pt>
                <c:pt idx="30">
                  <c:v>41740</c:v>
                </c:pt>
                <c:pt idx="31">
                  <c:v>41750</c:v>
                </c:pt>
                <c:pt idx="32">
                  <c:v>41760</c:v>
                </c:pt>
                <c:pt idx="33">
                  <c:v>41770</c:v>
                </c:pt>
                <c:pt idx="34">
                  <c:v>41780</c:v>
                </c:pt>
                <c:pt idx="35">
                  <c:v>41791</c:v>
                </c:pt>
                <c:pt idx="36">
                  <c:v>41801</c:v>
                </c:pt>
                <c:pt idx="37">
                  <c:v>41811</c:v>
                </c:pt>
                <c:pt idx="38">
                  <c:v>41820</c:v>
                </c:pt>
              </c:numCache>
            </c:numRef>
          </c:cat>
          <c:val>
            <c:numRef>
              <c:f>'bang so lieu (sua) (3)'!$B$12:$Q$12</c:f>
              <c:numCache>
                <c:formatCode>0.00</c:formatCode>
                <c:ptCount val="16"/>
                <c:pt idx="0">
                  <c:v>20.3</c:v>
                </c:pt>
                <c:pt idx="1">
                  <c:v>20.3</c:v>
                </c:pt>
                <c:pt idx="2">
                  <c:v>21.2</c:v>
                </c:pt>
                <c:pt idx="3">
                  <c:v>21.2</c:v>
                </c:pt>
                <c:pt idx="4">
                  <c:v>22.1</c:v>
                </c:pt>
                <c:pt idx="5">
                  <c:v>22.1</c:v>
                </c:pt>
                <c:pt idx="6">
                  <c:v>22.7</c:v>
                </c:pt>
                <c:pt idx="7">
                  <c:v>22.7</c:v>
                </c:pt>
                <c:pt idx="8">
                  <c:v>23.3</c:v>
                </c:pt>
                <c:pt idx="9">
                  <c:v>23.3</c:v>
                </c:pt>
                <c:pt idx="10">
                  <c:v>23.65</c:v>
                </c:pt>
                <c:pt idx="11">
                  <c:v>23.65</c:v>
                </c:pt>
                <c:pt idx="12">
                  <c:v>24</c:v>
                </c:pt>
                <c:pt idx="13">
                  <c:v>24</c:v>
                </c:pt>
                <c:pt idx="14">
                  <c:v>24.4</c:v>
                </c:pt>
                <c:pt idx="15">
                  <c:v>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0A-44F5-81F3-4A0CA39CF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925480"/>
        <c:axId val="1"/>
      </c:lineChart>
      <c:dateAx>
        <c:axId val="54692548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Ngày/ Tháng</a:t>
                </a:r>
              </a:p>
            </c:rich>
          </c:tx>
          <c:layout>
            <c:manualLayout>
              <c:xMode val="edge"/>
              <c:yMode val="edge"/>
              <c:x val="0.89555325749741466"/>
              <c:y val="0.88813559322033897"/>
            </c:manualLayout>
          </c:layout>
          <c:overlay val="0"/>
          <c:spPr>
            <a:noFill/>
            <a:ln w="25400">
              <a:noFill/>
            </a:ln>
          </c:spPr>
        </c:title>
        <c:numFmt formatCode="d/m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16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"/>
        <c:scaling>
          <c:orientation val="minMax"/>
          <c:max val="28"/>
          <c:min val="17"/>
        </c:scaling>
        <c:delete val="0"/>
        <c:axPos val="l"/>
        <c:majorGridlines>
          <c:spPr>
            <a:ln w="12700">
              <a:solidFill>
                <a:srgbClr val="80808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vi-VN"/>
                  <a:t>Mực nước H (m)</a:t>
                </a:r>
              </a:p>
            </c:rich>
          </c:tx>
          <c:layout>
            <c:manualLayout>
              <c:xMode val="edge"/>
              <c:yMode val="edge"/>
              <c:x val="1.4428367084931344E-2"/>
              <c:y val="0.4143556208016370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6925480"/>
        <c:crosses val="autoZero"/>
        <c:crossBetween val="midCat"/>
        <c:majorUnit val="1"/>
        <c:minorUnit val="0.5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90F702F-3BF7-4EE0-8D1D-BEECB9FF8EA2}">
  <sheetPr codeName="Chart47">
    <tabColor indexed="11"/>
  </sheetPr>
  <sheetViews>
    <sheetView zoomScale="135" workbookViewId="0"/>
  </sheetViews>
  <pageMargins left="0.75" right="0.75" top="1" bottom="1" header="0.5" footer="0.5"/>
  <pageSetup paperSize="9" orientation="landscape" horizontalDpi="200" verticalDpi="2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C3118B-3638-4E0F-98D7-F98FFA26A8FD}">
  <sheetPr codeName="Chart48">
    <tabColor indexed="11"/>
  </sheetPr>
  <sheetViews>
    <sheetView zoomScale="135" workbookViewId="0"/>
  </sheetViews>
  <pageMargins left="0.75" right="0.75" top="1" bottom="1" header="0.5" footer="0.5"/>
  <pageSetup paperSize="9" orientation="landscape" horizontalDpi="200" verticalDpi="2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33E302-1A55-459D-94D9-C62FA12E58F3}">
  <sheetPr codeName="Chart46">
    <tabColor indexed="53"/>
  </sheetPr>
  <sheetViews>
    <sheetView zoomScale="140" workbookViewId="0"/>
  </sheetViews>
  <pageMargins left="0.75" right="0.75" top="1" bottom="1" header="0.5" footer="0.5"/>
  <pageSetup paperSize="9" orientation="landscape" horizontalDpi="200" verticalDpi="200" r:id="rId1"/>
  <headerFooter alignWithMargins="0"/>
  <drawing r:id="rId2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1195388</xdr:colOff>
      <xdr:row>0</xdr:row>
      <xdr:rowOff>0</xdr:rowOff>
    </xdr:to>
    <xdr:sp macro="" textlink="">
      <xdr:nvSpPr>
        <xdr:cNvPr id="1036315" name="Line 1">
          <a:extLst>
            <a:ext uri="{FF2B5EF4-FFF2-40B4-BE49-F238E27FC236}">
              <a16:creationId xmlns:a16="http://schemas.microsoft.com/office/drawing/2014/main" id="{E5E45E5D-6EE0-30D2-F6E7-EE0DAF542206}"/>
            </a:ext>
          </a:extLst>
        </xdr:cNvPr>
        <xdr:cNvSpPr>
          <a:spLocks noChangeShapeType="1"/>
        </xdr:cNvSpPr>
      </xdr:nvSpPr>
      <xdr:spPr bwMode="auto">
        <a:xfrm flipH="1" flipV="1">
          <a:off x="338138" y="0"/>
          <a:ext cx="1195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3972" cy="56091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30D1D-290B-CA5A-BABD-78FCF15701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0.0795</cdr:x>
      <cdr:y>0.19475</cdr:y>
    </cdr:from>
    <cdr:to>
      <cdr:x>0.17225</cdr:x>
      <cdr:y>0.22575</cdr:y>
    </cdr:to>
    <cdr:sp macro="" textlink="">
      <cdr:nvSpPr>
        <cdr:cNvPr id="777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091" y="893340"/>
          <a:ext cx="877512" cy="1912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MNKT = 26.92</a:t>
          </a:r>
        </a:p>
      </cdr:txBody>
    </cdr:sp>
  </cdr:relSizeAnchor>
  <cdr:relSizeAnchor xmlns:cdr="http://schemas.openxmlformats.org/drawingml/2006/chartDrawing">
    <cdr:from>
      <cdr:x>0.46175</cdr:x>
      <cdr:y>0.28375</cdr:y>
    </cdr:from>
    <cdr:to>
      <cdr:x>0.471</cdr:x>
      <cdr:y>0.32775</cdr:y>
    </cdr:to>
    <cdr:sp macro="" textlink="">
      <cdr:nvSpPr>
        <cdr:cNvPr id="69837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78978" y="1439270"/>
          <a:ext cx="85821" cy="275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0.0735</cdr:x>
      <cdr:y>0.299</cdr:y>
    </cdr:from>
    <cdr:to>
      <cdr:x>0.1825</cdr:x>
      <cdr:y>0.33925</cdr:y>
    </cdr:to>
    <cdr:sp macro="" textlink="">
      <cdr:nvSpPr>
        <cdr:cNvPr id="87256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9934" y="1524140"/>
          <a:ext cx="922661" cy="24798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MNTK = 25.10</a:t>
          </a:r>
        </a:p>
      </cdr:txBody>
    </cdr:sp>
  </cdr:relSizeAnchor>
  <cdr:relSizeAnchor xmlns:cdr="http://schemas.openxmlformats.org/drawingml/2006/chartDrawing">
    <cdr:from>
      <cdr:x>0.34625</cdr:x>
      <cdr:y>0.54175</cdr:y>
    </cdr:from>
    <cdr:to>
      <cdr:x>0.35225</cdr:x>
      <cdr:y>0.57075</cdr:y>
    </cdr:to>
    <cdr:sp macro="" textlink="">
      <cdr:nvSpPr>
        <cdr:cNvPr id="69837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352" y="3028890"/>
          <a:ext cx="53638" cy="179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925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                                                                                   </a:t>
          </a:r>
        </a:p>
      </cdr:txBody>
    </cdr:sp>
  </cdr:relSizeAnchor>
  <cdr:relSizeAnchor xmlns:cdr="http://schemas.openxmlformats.org/drawingml/2006/chartDrawing">
    <cdr:from>
      <cdr:x>0.22825</cdr:x>
      <cdr:y>0.80375</cdr:y>
    </cdr:from>
    <cdr:to>
      <cdr:x>0.30225</cdr:x>
      <cdr:y>0.833</cdr:y>
    </cdr:to>
    <cdr:sp macro="" textlink="">
      <cdr:nvSpPr>
        <cdr:cNvPr id="69837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56702" y="4690036"/>
          <a:ext cx="703726" cy="17954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MNC = 17.00 m</a:t>
          </a:r>
        </a:p>
      </cdr:txBody>
    </cdr:sp>
  </cdr:relSizeAnchor>
  <cdr:relSizeAnchor xmlns:cdr="http://schemas.openxmlformats.org/drawingml/2006/chartDrawing">
    <cdr:from>
      <cdr:x>0.07475</cdr:x>
      <cdr:y>0.89425</cdr:y>
    </cdr:from>
    <cdr:to>
      <cdr:x>0.09425</cdr:x>
      <cdr:y>0.927</cdr:y>
    </cdr:to>
    <cdr:sp macro="" textlink="">
      <cdr:nvSpPr>
        <cdr:cNvPr id="698375" name="Oval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5946" y="5212611"/>
          <a:ext cx="167349" cy="178084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925" b="0" i="0" strike="noStrike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cdr:txBody>
    </cdr:sp>
  </cdr:relSizeAnchor>
  <cdr:relSizeAnchor xmlns:cdr="http://schemas.openxmlformats.org/drawingml/2006/chartDrawing">
    <cdr:from>
      <cdr:x>0.10175</cdr:x>
      <cdr:y>0.89375</cdr:y>
    </cdr:from>
    <cdr:to>
      <cdr:x>0.3475</cdr:x>
      <cdr:y>0.93225</cdr:y>
    </cdr:to>
    <cdr:sp macro="" textlink="">
      <cdr:nvSpPr>
        <cdr:cNvPr id="964615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12080" y="4991824"/>
          <a:ext cx="2241628" cy="216732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Đường PPH theo QTVH liên hồ QĐ 1895</a:t>
          </a:r>
        </a:p>
      </cdr:txBody>
    </cdr:sp>
  </cdr:relSizeAnchor>
  <cdr:relSizeAnchor xmlns:cdr="http://schemas.openxmlformats.org/drawingml/2006/chartDrawing">
    <cdr:from>
      <cdr:x>0.393</cdr:x>
      <cdr:y>0.8835</cdr:y>
    </cdr:from>
    <cdr:to>
      <cdr:x>0.67125</cdr:x>
      <cdr:y>0.91225</cdr:y>
    </cdr:to>
    <cdr:sp macro="" textlink="">
      <cdr:nvSpPr>
        <cdr:cNvPr id="964616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66640" y="5005807"/>
          <a:ext cx="2538849" cy="163597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Đường HCCN theo QTVH liên hồ QĐ 1895</a:t>
          </a:r>
        </a:p>
      </cdr:txBody>
    </cdr:sp>
  </cdr:relSizeAnchor>
  <cdr:relSizeAnchor xmlns:cdr="http://schemas.openxmlformats.org/drawingml/2006/chartDrawing">
    <cdr:from>
      <cdr:x>0.09425</cdr:x>
      <cdr:y>0.93975</cdr:y>
    </cdr:from>
    <cdr:to>
      <cdr:x>0.32675</cdr:x>
      <cdr:y>0.9775</cdr:y>
    </cdr:to>
    <cdr:sp macro="" textlink="">
      <cdr:nvSpPr>
        <cdr:cNvPr id="964617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78047" y="5264487"/>
          <a:ext cx="2119110" cy="21952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Đường phòng phá hoại xây dựng mới </a:t>
          </a:r>
        </a:p>
      </cdr:txBody>
    </cdr:sp>
  </cdr:relSizeAnchor>
  <cdr:relSizeAnchor xmlns:cdr="http://schemas.openxmlformats.org/drawingml/2006/chartDrawing">
    <cdr:from>
      <cdr:x>0.06625</cdr:x>
      <cdr:y>0.3555</cdr:y>
    </cdr:from>
    <cdr:to>
      <cdr:x>0.195</cdr:x>
      <cdr:y>0.38975</cdr:y>
    </cdr:to>
    <cdr:sp macro="" textlink="">
      <cdr:nvSpPr>
        <cdr:cNvPr id="1037322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234" y="1813774"/>
          <a:ext cx="1178966" cy="20371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MNDBT = 24.40</a:t>
          </a:r>
        </a:p>
      </cdr:txBody>
    </cdr:sp>
  </cdr:relSizeAnchor>
  <cdr:relSizeAnchor xmlns:cdr="http://schemas.openxmlformats.org/drawingml/2006/chartDrawing">
    <cdr:from>
      <cdr:x>0.07475</cdr:x>
      <cdr:y>0.10625</cdr:y>
    </cdr:from>
    <cdr:to>
      <cdr:x>0.168</cdr:x>
      <cdr:y>0.15625</cdr:y>
    </cdr:to>
    <cdr:sp macro="" textlink="">
      <cdr:nvSpPr>
        <cdr:cNvPr id="872460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34275" y="411851"/>
          <a:ext cx="789935" cy="21897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CTĐĐ = 28.00</a:t>
          </a:r>
        </a:p>
      </cdr:txBody>
    </cdr:sp>
  </cdr:relSizeAnchor>
  <cdr:relSizeAnchor xmlns:cdr="http://schemas.openxmlformats.org/drawingml/2006/chartDrawing">
    <cdr:from>
      <cdr:x>0.53888</cdr:x>
      <cdr:y>0.43056</cdr:y>
    </cdr:from>
    <cdr:to>
      <cdr:x>0.56088</cdr:x>
      <cdr:y>0.46281</cdr:y>
    </cdr:to>
    <cdr:sp macro="" textlink="">
      <cdr:nvSpPr>
        <cdr:cNvPr id="777567" name="Oval 15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68284" y="2318485"/>
          <a:ext cx="200157" cy="187918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1</a:t>
          </a:r>
        </a:p>
      </cdr:txBody>
    </cdr:sp>
  </cdr:relSizeAnchor>
  <cdr:relSizeAnchor xmlns:cdr="http://schemas.openxmlformats.org/drawingml/2006/chartDrawing">
    <cdr:from>
      <cdr:x>0.26115</cdr:x>
      <cdr:y>0.54432</cdr:y>
    </cdr:from>
    <cdr:to>
      <cdr:x>0.2829</cdr:x>
      <cdr:y>0.57657</cdr:y>
    </cdr:to>
    <cdr:sp macro="" textlink="">
      <cdr:nvSpPr>
        <cdr:cNvPr id="777568" name="Oval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98644" y="2984626"/>
          <a:ext cx="200157" cy="187918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2</a:t>
          </a:r>
        </a:p>
      </cdr:txBody>
    </cdr:sp>
  </cdr:relSizeAnchor>
  <cdr:relSizeAnchor xmlns:cdr="http://schemas.openxmlformats.org/drawingml/2006/chartDrawing">
    <cdr:from>
      <cdr:x>0.40225</cdr:x>
      <cdr:y>0.63025</cdr:y>
    </cdr:from>
    <cdr:to>
      <cdr:x>0.4765</cdr:x>
      <cdr:y>0.664</cdr:y>
    </cdr:to>
    <cdr:sp macro="" textlink="">
      <cdr:nvSpPr>
        <cdr:cNvPr id="698388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12565" y="3624451"/>
          <a:ext cx="705871" cy="2101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VÙNG A</a:t>
          </a:r>
        </a:p>
      </cdr:txBody>
    </cdr:sp>
  </cdr:relSizeAnchor>
  <cdr:relSizeAnchor xmlns:cdr="http://schemas.openxmlformats.org/drawingml/2006/chartDrawing">
    <cdr:from>
      <cdr:x>0.403</cdr:x>
      <cdr:y>0.447</cdr:y>
    </cdr:from>
    <cdr:to>
      <cdr:x>0.47725</cdr:x>
      <cdr:y>0.48075</cdr:y>
    </cdr:to>
    <cdr:sp macro="" textlink="">
      <cdr:nvSpPr>
        <cdr:cNvPr id="698389" name="Text Box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12565" y="2653746"/>
          <a:ext cx="705871" cy="2101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VÙNG B</a:t>
          </a:r>
        </a:p>
      </cdr:txBody>
    </cdr:sp>
  </cdr:relSizeAnchor>
  <cdr:relSizeAnchor xmlns:cdr="http://schemas.openxmlformats.org/drawingml/2006/chartDrawing">
    <cdr:from>
      <cdr:x>0.65816</cdr:x>
      <cdr:y>0.89813</cdr:y>
    </cdr:from>
    <cdr:to>
      <cdr:x>0.81116</cdr:x>
      <cdr:y>0.93488</cdr:y>
    </cdr:to>
    <cdr:sp macro="" textlink="">
      <cdr:nvSpPr>
        <cdr:cNvPr id="698392" name="Text Box 2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75162" y="5032470"/>
          <a:ext cx="1419503" cy="2061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vi-VN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Vùng A : Vùng hạn chế cấp nước</a:t>
          </a:r>
        </a:p>
      </cdr:txBody>
    </cdr:sp>
  </cdr:relSizeAnchor>
  <cdr:relSizeAnchor xmlns:cdr="http://schemas.openxmlformats.org/drawingml/2006/chartDrawing">
    <cdr:from>
      <cdr:x>0.65854</cdr:x>
      <cdr:y>0.93887</cdr:y>
    </cdr:from>
    <cdr:to>
      <cdr:x>0.89029</cdr:x>
      <cdr:y>0.97312</cdr:y>
    </cdr:to>
    <cdr:sp macro="" textlink="">
      <cdr:nvSpPr>
        <cdr:cNvPr id="872583" name="Text Box 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78723" y="5265154"/>
          <a:ext cx="2146510" cy="192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vi-VN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Vùng B : Vùng cấp nước bình thường</a:t>
          </a:r>
        </a:p>
      </cdr:txBody>
    </cdr:sp>
  </cdr:relSizeAnchor>
  <cdr:relSizeAnchor xmlns:cdr="http://schemas.openxmlformats.org/drawingml/2006/chartDrawing">
    <cdr:from>
      <cdr:x>0.07475</cdr:x>
      <cdr:y>0.93675</cdr:y>
    </cdr:from>
    <cdr:to>
      <cdr:x>0.09425</cdr:x>
      <cdr:y>0.971</cdr:y>
    </cdr:to>
    <cdr:sp macro="" textlink="">
      <cdr:nvSpPr>
        <cdr:cNvPr id="2" name="Oval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5946" y="5212611"/>
          <a:ext cx="167349" cy="178084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</a:t>
          </a:r>
        </a:p>
      </cdr:txBody>
    </cdr:sp>
  </cdr:relSizeAnchor>
  <cdr:relSizeAnchor xmlns:cdr="http://schemas.openxmlformats.org/drawingml/2006/chartDrawing">
    <cdr:from>
      <cdr:x>0.39299</cdr:x>
      <cdr:y>0.88362</cdr:y>
    </cdr:from>
    <cdr:to>
      <cdr:x>0.4093</cdr:x>
      <cdr:y>0.91809</cdr:y>
    </cdr:to>
    <cdr:sp macro="" textlink="">
      <cdr:nvSpPr>
        <cdr:cNvPr id="964627" name="Oval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16570" y="5005754"/>
          <a:ext cx="152400" cy="196151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</a:t>
          </a:r>
        </a:p>
      </cdr:txBody>
    </cdr:sp>
  </cdr:relSizeAnchor>
  <cdr:relSizeAnchor xmlns:cdr="http://schemas.openxmlformats.org/drawingml/2006/chartDrawing">
    <cdr:from>
      <cdr:x>0.52675</cdr:x>
      <cdr:y>0.5635</cdr:y>
    </cdr:from>
    <cdr:to>
      <cdr:x>0.5485</cdr:x>
      <cdr:y>0.60625</cdr:y>
    </cdr:to>
    <cdr:sp macro="" textlink="">
      <cdr:nvSpPr>
        <cdr:cNvPr id="1037332" name="Oval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56328" y="3048714"/>
          <a:ext cx="200333" cy="254294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3</a:t>
          </a:r>
        </a:p>
      </cdr:txBody>
    </cdr:sp>
  </cdr:relSizeAnchor>
  <cdr:relSizeAnchor xmlns:cdr="http://schemas.openxmlformats.org/drawingml/2006/chartDrawing">
    <cdr:from>
      <cdr:x>0.298</cdr:x>
      <cdr:y>0.652</cdr:y>
    </cdr:from>
    <cdr:to>
      <cdr:x>0.3195</cdr:x>
      <cdr:y>0.69375</cdr:y>
    </cdr:to>
    <cdr:sp macro="" textlink="">
      <cdr:nvSpPr>
        <cdr:cNvPr id="1037333" name="Oval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58597" y="3574161"/>
          <a:ext cx="198030" cy="247269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4</a:t>
          </a:r>
        </a:p>
      </cdr:txBody>
    </cdr:sp>
  </cdr:relSizeAnchor>
  <cdr:relSizeAnchor xmlns:cdr="http://schemas.openxmlformats.org/drawingml/2006/chartDrawing">
    <cdr:from>
      <cdr:x>0.40925</cdr:x>
      <cdr:y>0.92325</cdr:y>
    </cdr:from>
    <cdr:to>
      <cdr:x>0.6325</cdr:x>
      <cdr:y>0.9615</cdr:y>
    </cdr:to>
    <cdr:sp macro="" textlink="">
      <cdr:nvSpPr>
        <cdr:cNvPr id="1037334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78679" y="5174385"/>
          <a:ext cx="2049376" cy="22338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5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Đường hạn chế cấp nước xây dựng mới</a:t>
          </a:r>
        </a:p>
      </cdr:txBody>
    </cdr:sp>
  </cdr:relSizeAnchor>
  <cdr:relSizeAnchor xmlns:cdr="http://schemas.openxmlformats.org/drawingml/2006/chartDrawing">
    <cdr:from>
      <cdr:x>0.393</cdr:x>
      <cdr:y>0.92325</cdr:y>
    </cdr:from>
    <cdr:to>
      <cdr:x>0.40925</cdr:x>
      <cdr:y>0.96125</cdr:y>
    </cdr:to>
    <cdr:sp macro="" textlink="">
      <cdr:nvSpPr>
        <cdr:cNvPr id="1037335" name="Oval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29006" y="5174385"/>
          <a:ext cx="149673" cy="22198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</a:t>
          </a:r>
        </a:p>
      </cdr:txBody>
    </cdr:sp>
  </cdr:relSizeAnchor>
  <cdr:relSizeAnchor xmlns:cdr="http://schemas.openxmlformats.org/drawingml/2006/chartDrawing">
    <cdr:from>
      <cdr:x>0.39304</cdr:x>
      <cdr:y>0.96091</cdr:y>
    </cdr:from>
    <cdr:to>
      <cdr:x>0.68145</cdr:x>
      <cdr:y>0.991</cdr:y>
    </cdr:to>
    <cdr:sp macro="" textlink="">
      <cdr:nvSpPr>
        <cdr:cNvPr id="964632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26212" y="5440680"/>
          <a:ext cx="2667908" cy="168812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Đường phòng lũ theo QTVH liên hồ QĐ 1895</a:t>
          </a:r>
          <a:endParaRPr lang="en-US" sz="9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 xmlns:a="http://schemas.openxmlformats.org/drawingml/2006/main">
          <a:pPr algn="ctr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cdr:txBody>
    </cdr:sp>
  </cdr:relSizeAnchor>
  <cdr:relSizeAnchor xmlns:cdr="http://schemas.openxmlformats.org/drawingml/2006/chartDrawing">
    <cdr:from>
      <cdr:x>0.39175</cdr:x>
      <cdr:y>0.96125</cdr:y>
    </cdr:from>
    <cdr:to>
      <cdr:x>0.40925</cdr:x>
      <cdr:y>0.99875</cdr:y>
    </cdr:to>
    <cdr:sp macro="" textlink="">
      <cdr:nvSpPr>
        <cdr:cNvPr id="1037337" name="Oval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19795" y="5396365"/>
          <a:ext cx="158884" cy="21636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5</a:t>
          </a:r>
        </a:p>
      </cdr:txBody>
    </cdr:sp>
  </cdr:relSizeAnchor>
  <cdr:relSizeAnchor xmlns:cdr="http://schemas.openxmlformats.org/drawingml/2006/chartDrawing">
    <cdr:from>
      <cdr:x>0.18232</cdr:x>
      <cdr:y>0.48153</cdr:y>
    </cdr:from>
    <cdr:to>
      <cdr:x>0.20382</cdr:x>
      <cdr:y>0.51403</cdr:y>
    </cdr:to>
    <cdr:sp macro="" textlink="">
      <cdr:nvSpPr>
        <cdr:cNvPr id="7" name="Oval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87053" y="2499171"/>
          <a:ext cx="200157" cy="190722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5</a:t>
          </a:r>
        </a:p>
      </cdr:txBody>
    </cdr:sp>
  </cdr:relSizeAnchor>
  <cdr:relSizeAnchor xmlns:cdr="http://schemas.openxmlformats.org/drawingml/2006/chartDrawing">
    <cdr:from>
      <cdr:x>0.6254</cdr:x>
      <cdr:y>0.45291</cdr:y>
    </cdr:from>
    <cdr:to>
      <cdr:x>0.6474</cdr:x>
      <cdr:y>0.48516</cdr:y>
    </cdr:to>
    <cdr:sp macro="" textlink="">
      <cdr:nvSpPr>
        <cdr:cNvPr id="28" name="Oval 2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69113" y="2449443"/>
          <a:ext cx="200157" cy="187918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2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03972" cy="56091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BF689-1AC4-F10D-4962-D5D116CDAF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0.07825</cdr:x>
      <cdr:y>0.19075</cdr:y>
    </cdr:from>
    <cdr:to>
      <cdr:x>0.17125</cdr:x>
      <cdr:y>0.22175</cdr:y>
    </cdr:to>
    <cdr:sp macro="" textlink="">
      <cdr:nvSpPr>
        <cdr:cNvPr id="777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091" y="893340"/>
          <a:ext cx="877512" cy="1912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MNKT = 26.92</a:t>
          </a:r>
        </a:p>
      </cdr:txBody>
    </cdr:sp>
  </cdr:relSizeAnchor>
  <cdr:relSizeAnchor xmlns:cdr="http://schemas.openxmlformats.org/drawingml/2006/chartDrawing">
    <cdr:from>
      <cdr:x>0.46175</cdr:x>
      <cdr:y>0.28</cdr:y>
    </cdr:from>
    <cdr:to>
      <cdr:x>0.47075</cdr:x>
      <cdr:y>0.3245</cdr:y>
    </cdr:to>
    <cdr:sp macro="" textlink="">
      <cdr:nvSpPr>
        <cdr:cNvPr id="69837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78978" y="1439270"/>
          <a:ext cx="85821" cy="275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0.0725</cdr:x>
      <cdr:y>0.29525</cdr:y>
    </cdr:from>
    <cdr:to>
      <cdr:x>0.1815</cdr:x>
      <cdr:y>0.336</cdr:y>
    </cdr:to>
    <cdr:sp macro="" textlink="">
      <cdr:nvSpPr>
        <cdr:cNvPr id="87256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9934" y="1524140"/>
          <a:ext cx="922661" cy="24798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MNTK = 25.10</a:t>
          </a:r>
        </a:p>
      </cdr:txBody>
    </cdr:sp>
  </cdr:relSizeAnchor>
  <cdr:relSizeAnchor xmlns:cdr="http://schemas.openxmlformats.org/drawingml/2006/chartDrawing">
    <cdr:from>
      <cdr:x>0.3465</cdr:x>
      <cdr:y>0.5395</cdr:y>
    </cdr:from>
    <cdr:to>
      <cdr:x>0.352</cdr:x>
      <cdr:y>0.5685</cdr:y>
    </cdr:to>
    <cdr:sp macro="" textlink="">
      <cdr:nvSpPr>
        <cdr:cNvPr id="69837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352" y="3028890"/>
          <a:ext cx="53638" cy="179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925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                                                                                   </a:t>
          </a:r>
        </a:p>
      </cdr:txBody>
    </cdr:sp>
  </cdr:relSizeAnchor>
  <cdr:relSizeAnchor xmlns:cdr="http://schemas.openxmlformats.org/drawingml/2006/chartDrawing">
    <cdr:from>
      <cdr:x>0.228</cdr:x>
      <cdr:y>0.80275</cdr:y>
    </cdr:from>
    <cdr:to>
      <cdr:x>0.30225</cdr:x>
      <cdr:y>0.83225</cdr:y>
    </cdr:to>
    <cdr:sp macro="" textlink="">
      <cdr:nvSpPr>
        <cdr:cNvPr id="69837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56702" y="4690036"/>
          <a:ext cx="703726" cy="17954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MNC = 17.00 m</a:t>
          </a:r>
        </a:p>
      </cdr:txBody>
    </cdr:sp>
  </cdr:relSizeAnchor>
  <cdr:relSizeAnchor xmlns:cdr="http://schemas.openxmlformats.org/drawingml/2006/chartDrawing">
    <cdr:from>
      <cdr:x>0.046</cdr:x>
      <cdr:y>0.8945</cdr:y>
    </cdr:from>
    <cdr:to>
      <cdr:x>0.06525</cdr:x>
      <cdr:y>0.92925</cdr:y>
    </cdr:to>
    <cdr:sp macro="" textlink="">
      <cdr:nvSpPr>
        <cdr:cNvPr id="1042438" name="Oval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9020" y="5008602"/>
          <a:ext cx="184214" cy="20090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cdr:txBody>
    </cdr:sp>
  </cdr:relSizeAnchor>
  <cdr:relSizeAnchor xmlns:cdr="http://schemas.openxmlformats.org/drawingml/2006/chartDrawing">
    <cdr:from>
      <cdr:x>0.06525</cdr:x>
      <cdr:y>0.352</cdr:y>
    </cdr:from>
    <cdr:to>
      <cdr:x>0.19375</cdr:x>
      <cdr:y>0.3865</cdr:y>
    </cdr:to>
    <cdr:sp macro="" textlink="">
      <cdr:nvSpPr>
        <cdr:cNvPr id="1042442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234" y="1813774"/>
          <a:ext cx="1178966" cy="20371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MNDBT = 24.40</a:t>
          </a:r>
        </a:p>
      </cdr:txBody>
    </cdr:sp>
  </cdr:relSizeAnchor>
  <cdr:relSizeAnchor xmlns:cdr="http://schemas.openxmlformats.org/drawingml/2006/chartDrawing">
    <cdr:from>
      <cdr:x>0.0735</cdr:x>
      <cdr:y>0.10375</cdr:y>
    </cdr:from>
    <cdr:to>
      <cdr:x>0.167</cdr:x>
      <cdr:y>0.15225</cdr:y>
    </cdr:to>
    <cdr:sp macro="" textlink="">
      <cdr:nvSpPr>
        <cdr:cNvPr id="872460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34275" y="411851"/>
          <a:ext cx="789935" cy="21897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CTĐĐ = 28.00</a:t>
          </a:r>
        </a:p>
      </cdr:txBody>
    </cdr:sp>
  </cdr:relSizeAnchor>
  <cdr:relSizeAnchor xmlns:cdr="http://schemas.openxmlformats.org/drawingml/2006/chartDrawing">
    <cdr:from>
      <cdr:x>0.33538</cdr:x>
      <cdr:y>0.42881</cdr:y>
    </cdr:from>
    <cdr:to>
      <cdr:x>0.35688</cdr:x>
      <cdr:y>0.46131</cdr:y>
    </cdr:to>
    <cdr:sp macro="" textlink="">
      <cdr:nvSpPr>
        <cdr:cNvPr id="777567" name="Oval 15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68284" y="2318485"/>
          <a:ext cx="200157" cy="187918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FF0000"/>
              </a:solidFill>
              <a:latin typeface="Times New Roman"/>
              <a:cs typeface="Times New Roman"/>
            </a:rPr>
            <a:t>2</a:t>
          </a:r>
        </a:p>
      </cdr:txBody>
    </cdr:sp>
  </cdr:relSizeAnchor>
  <cdr:relSizeAnchor xmlns:cdr="http://schemas.openxmlformats.org/drawingml/2006/chartDrawing">
    <cdr:from>
      <cdr:x>0.3354</cdr:x>
      <cdr:y>0.59532</cdr:y>
    </cdr:from>
    <cdr:to>
      <cdr:x>0.35665</cdr:x>
      <cdr:y>0.62807</cdr:y>
    </cdr:to>
    <cdr:sp macro="" textlink="">
      <cdr:nvSpPr>
        <cdr:cNvPr id="777568" name="Oval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98644" y="2984626"/>
          <a:ext cx="200157" cy="187918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FF0000"/>
              </a:solidFill>
              <a:latin typeface="Times New Roman"/>
              <a:cs typeface="Times New Roman"/>
            </a:rPr>
            <a:t>1</a:t>
          </a:r>
        </a:p>
      </cdr:txBody>
    </cdr:sp>
  </cdr:relSizeAnchor>
  <cdr:relSizeAnchor xmlns:cdr="http://schemas.openxmlformats.org/drawingml/2006/chartDrawing">
    <cdr:from>
      <cdr:x>0.44868</cdr:x>
      <cdr:y>0.62879</cdr:y>
    </cdr:from>
    <cdr:to>
      <cdr:x>0.52293</cdr:x>
      <cdr:y>0.66254</cdr:y>
    </cdr:to>
    <cdr:sp macro="" textlink="">
      <cdr:nvSpPr>
        <cdr:cNvPr id="698388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37279" y="3444394"/>
          <a:ext cx="680833" cy="1993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VÙNG A</a:t>
          </a:r>
        </a:p>
      </cdr:txBody>
    </cdr:sp>
  </cdr:relSizeAnchor>
  <cdr:relSizeAnchor xmlns:cdr="http://schemas.openxmlformats.org/drawingml/2006/chartDrawing">
    <cdr:from>
      <cdr:x>0.45175</cdr:x>
      <cdr:y>0.44525</cdr:y>
    </cdr:from>
    <cdr:to>
      <cdr:x>0.526</cdr:x>
      <cdr:y>0.47875</cdr:y>
    </cdr:to>
    <cdr:sp macro="" textlink="">
      <cdr:nvSpPr>
        <cdr:cNvPr id="698389" name="Text Box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12565" y="2653746"/>
          <a:ext cx="705871" cy="2101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VÙNG B</a:t>
          </a:r>
        </a:p>
      </cdr:txBody>
    </cdr:sp>
  </cdr:relSizeAnchor>
  <cdr:relSizeAnchor xmlns:cdr="http://schemas.openxmlformats.org/drawingml/2006/chartDrawing">
    <cdr:from>
      <cdr:x>0.04805</cdr:x>
      <cdr:y>0.94324</cdr:y>
    </cdr:from>
    <cdr:to>
      <cdr:x>0.06755</cdr:x>
      <cdr:y>0.97749</cdr:y>
    </cdr:to>
    <cdr:sp macro="" textlink="">
      <cdr:nvSpPr>
        <cdr:cNvPr id="2" name="Oval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9689" y="5287638"/>
          <a:ext cx="184009" cy="197972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</a:t>
          </a:r>
        </a:p>
      </cdr:txBody>
    </cdr:sp>
  </cdr:relSizeAnchor>
  <cdr:relSizeAnchor xmlns:cdr="http://schemas.openxmlformats.org/drawingml/2006/chartDrawing">
    <cdr:from>
      <cdr:x>0.25503</cdr:x>
      <cdr:y>0.89046</cdr:y>
    </cdr:from>
    <cdr:to>
      <cdr:x>0.27528</cdr:x>
      <cdr:y>0.93196</cdr:y>
    </cdr:to>
    <cdr:sp macro="" textlink="">
      <cdr:nvSpPr>
        <cdr:cNvPr id="1042451" name="Oval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71725" y="4984186"/>
          <a:ext cx="181709" cy="238689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</a:t>
          </a:r>
        </a:p>
      </cdr:txBody>
    </cdr:sp>
  </cdr:relSizeAnchor>
  <cdr:relSizeAnchor xmlns:cdr="http://schemas.openxmlformats.org/drawingml/2006/chartDrawing">
    <cdr:from>
      <cdr:x>0.219</cdr:x>
      <cdr:y>0.43525</cdr:y>
    </cdr:from>
    <cdr:to>
      <cdr:x>0.241</cdr:x>
      <cdr:y>0.47825</cdr:y>
    </cdr:to>
    <cdr:sp macro="" textlink="">
      <cdr:nvSpPr>
        <cdr:cNvPr id="1042452" name="Oval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5559" y="2304098"/>
          <a:ext cx="200332" cy="254293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3</a:t>
          </a:r>
        </a:p>
      </cdr:txBody>
    </cdr:sp>
  </cdr:relSizeAnchor>
  <cdr:relSizeAnchor xmlns:cdr="http://schemas.openxmlformats.org/drawingml/2006/chartDrawing">
    <cdr:from>
      <cdr:x>0.07242</cdr:x>
      <cdr:y>0.88775</cdr:y>
    </cdr:from>
    <cdr:to>
      <cdr:x>0.24625</cdr:x>
      <cdr:y>0.928</cdr:y>
    </cdr:to>
    <cdr:sp macro="" textlink="">
      <cdr:nvSpPr>
        <cdr:cNvPr id="1042460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8499" y="4968952"/>
          <a:ext cx="1592411" cy="23167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Đường hạn chế cấp nước</a:t>
          </a:r>
          <a:endParaRPr lang="en-US" sz="9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0.07369</cdr:x>
      <cdr:y>0.9395</cdr:y>
    </cdr:from>
    <cdr:to>
      <cdr:x>0.24137</cdr:x>
      <cdr:y>0.97975</cdr:y>
    </cdr:to>
    <cdr:sp macro="" textlink="">
      <cdr:nvSpPr>
        <cdr:cNvPr id="1042461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10143" y="5265208"/>
          <a:ext cx="1533525" cy="23447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rtl="0"/>
          <a:r>
            <a:rPr lang="en-US" sz="10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Đường phòng phá hoại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0.28</cdr:x>
      <cdr:y>0.89775</cdr:y>
    </cdr:from>
    <cdr:to>
      <cdr:x>0.40275</cdr:x>
      <cdr:y>0.928</cdr:y>
    </cdr:to>
    <cdr:sp macro="" textlink="">
      <cdr:nvSpPr>
        <cdr:cNvPr id="1042462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92805" y="5029676"/>
          <a:ext cx="1128308" cy="17421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Đường phòng lũ</a:t>
          </a:r>
        </a:p>
      </cdr:txBody>
    </cdr:sp>
  </cdr:relSizeAnchor>
  <cdr:relSizeAnchor xmlns:cdr="http://schemas.openxmlformats.org/drawingml/2006/chartDrawing">
    <cdr:from>
      <cdr:x>0.25441</cdr:x>
      <cdr:y>0.94463</cdr:y>
    </cdr:from>
    <cdr:to>
      <cdr:x>0.40866</cdr:x>
      <cdr:y>0.98313</cdr:y>
    </cdr:to>
    <cdr:sp macro="" textlink="">
      <cdr:nvSpPr>
        <cdr:cNvPr id="698392" name="Text Box 2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75162" y="5032470"/>
          <a:ext cx="1419503" cy="2061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vi-VN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Vùng A : Vùng hạn chế cấp nước</a:t>
          </a:r>
        </a:p>
      </cdr:txBody>
    </cdr:sp>
  </cdr:relSizeAnchor>
  <cdr:relSizeAnchor xmlns:cdr="http://schemas.openxmlformats.org/drawingml/2006/chartDrawing">
    <cdr:from>
      <cdr:x>0.42725</cdr:x>
      <cdr:y>0.89325</cdr:y>
    </cdr:from>
    <cdr:to>
      <cdr:x>0.6315</cdr:x>
      <cdr:y>0.928</cdr:y>
    </cdr:to>
    <cdr:sp macro="" textlink="">
      <cdr:nvSpPr>
        <cdr:cNvPr id="1042464" name="Text Box 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40090" y="4998438"/>
          <a:ext cx="1872290" cy="2021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Vùng B : Vùng cấp nước bình thường</a:t>
          </a:r>
        </a:p>
      </cdr:txBody>
    </cdr:sp>
  </cdr:relSizeAnchor>
  <cdr:relSizeAnchor xmlns:cdr="http://schemas.openxmlformats.org/drawingml/2006/chartDrawing">
    <cdr:from>
      <cdr:x>0.42725</cdr:x>
      <cdr:y>0.9445</cdr:y>
    </cdr:from>
    <cdr:to>
      <cdr:x>0.62075</cdr:x>
      <cdr:y>0.97975</cdr:y>
    </cdr:to>
    <cdr:sp macro="" textlink="">
      <cdr:nvSpPr>
        <cdr:cNvPr id="1042465" name="Text Box 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40090" y="5294693"/>
          <a:ext cx="1773386" cy="2049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Vùng C : Vùng cấp nước gia tăng</a:t>
          </a:r>
        </a:p>
      </cdr:txBody>
    </cdr:sp>
  </cdr:relSizeAnchor>
  <cdr:relSizeAnchor xmlns:cdr="http://schemas.openxmlformats.org/drawingml/2006/chartDrawing">
    <cdr:from>
      <cdr:x>0.64729</cdr:x>
      <cdr:y>0.89462</cdr:y>
    </cdr:from>
    <cdr:to>
      <cdr:x>0.87929</cdr:x>
      <cdr:y>0.92987</cdr:y>
    </cdr:to>
    <cdr:sp macro="" textlink="">
      <cdr:nvSpPr>
        <cdr:cNvPr id="872583" name="Text Box 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78723" y="5265154"/>
          <a:ext cx="2146510" cy="192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Vùng D : </a:t>
          </a:r>
          <a:r>
            <a:rPr lang="en-US" sz="800" b="0" i="0" u="none" strike="noStrike" baseline="0">
              <a:solidFill>
                <a:srgbClr val="FF0000"/>
              </a:solidFill>
              <a:latin typeface="Times New Roman"/>
              <a:cs typeface="Times New Roman"/>
            </a:rPr>
            <a:t>Vùng xả lũ bình thường</a:t>
          </a:r>
        </a:p>
      </cdr:txBody>
    </cdr:sp>
  </cdr:relSizeAnchor>
  <cdr:relSizeAnchor xmlns:cdr="http://schemas.openxmlformats.org/drawingml/2006/chartDrawing">
    <cdr:from>
      <cdr:x>0.65354</cdr:x>
      <cdr:y>0.94462</cdr:y>
    </cdr:from>
    <cdr:to>
      <cdr:x>0.88579</cdr:x>
      <cdr:y>0.97962</cdr:y>
    </cdr:to>
    <cdr:sp macro="" textlink="">
      <cdr:nvSpPr>
        <cdr:cNvPr id="3" name="Text Box 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15158" y="5295367"/>
          <a:ext cx="2127603" cy="20218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Vùng </a:t>
          </a:r>
          <a:r>
            <a:rPr lang="en-US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 : Vùng xả lũ </a:t>
          </a:r>
          <a:r>
            <a:rPr lang="en-US" sz="8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gia tăng</a:t>
          </a:r>
          <a:endParaRPr lang="en-US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0.76125</cdr:x>
      <cdr:y>0.53625</cdr:y>
    </cdr:from>
    <cdr:to>
      <cdr:x>0.83525</cdr:x>
      <cdr:y>0.57</cdr:y>
    </cdr:to>
    <cdr:sp macro="" textlink="">
      <cdr:nvSpPr>
        <cdr:cNvPr id="4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12565" y="3624451"/>
          <a:ext cx="705871" cy="2101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VÙNG C</a:t>
          </a:r>
        </a:p>
      </cdr:txBody>
    </cdr:sp>
  </cdr:relSizeAnchor>
  <cdr:relSizeAnchor xmlns:cdr="http://schemas.openxmlformats.org/drawingml/2006/chartDrawing">
    <cdr:from>
      <cdr:x>0.17383</cdr:x>
      <cdr:y>0.53429</cdr:y>
    </cdr:from>
    <cdr:to>
      <cdr:x>0.24808</cdr:x>
      <cdr:y>0.56779</cdr:y>
    </cdr:to>
    <cdr:sp macro="" textlink="">
      <cdr:nvSpPr>
        <cdr:cNvPr id="5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26927" y="2891197"/>
          <a:ext cx="678533" cy="1951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VÙNG C</a:t>
          </a:r>
        </a:p>
      </cdr:txBody>
    </cdr:sp>
  </cdr:relSizeAnchor>
  <cdr:relSizeAnchor xmlns:cdr="http://schemas.openxmlformats.org/drawingml/2006/chartDrawing">
    <cdr:from>
      <cdr:x>0.08285</cdr:x>
      <cdr:y>0.44047</cdr:y>
    </cdr:from>
    <cdr:to>
      <cdr:x>0.1571</cdr:x>
      <cdr:y>0.47347</cdr:y>
    </cdr:to>
    <cdr:sp macro="" textlink="">
      <cdr:nvSpPr>
        <cdr:cNvPr id="6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4470" y="2333363"/>
          <a:ext cx="678533" cy="195163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VÙNG </a:t>
          </a:r>
          <a:r>
            <a:rPr lang="en-US" sz="1100" b="0" i="0" u="none" strike="noStrike" baseline="0">
              <a:solidFill>
                <a:srgbClr val="FF0000"/>
              </a:solidFill>
              <a:latin typeface="Times New Roman"/>
              <a:cs typeface="Times New Roman"/>
            </a:rPr>
            <a:t>C</a:t>
          </a:r>
        </a:p>
      </cdr:txBody>
    </cdr:sp>
  </cdr:relSizeAnchor>
  <cdr:relSizeAnchor xmlns:cdr="http://schemas.openxmlformats.org/drawingml/2006/chartDrawing">
    <cdr:from>
      <cdr:x>0.44</cdr:x>
      <cdr:y>0.279</cdr:y>
    </cdr:from>
    <cdr:to>
      <cdr:x>0.51425</cdr:x>
      <cdr:y>0.31275</cdr:y>
    </cdr:to>
    <cdr:sp macro="" textlink="">
      <cdr:nvSpPr>
        <cdr:cNvPr id="7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12565" y="3624451"/>
          <a:ext cx="705871" cy="2101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VÙNG E</a:t>
          </a:r>
        </a:p>
      </cdr:txBody>
    </cdr:sp>
  </cdr:relSizeAnchor>
  <cdr:relSizeAnchor xmlns:cdr="http://schemas.openxmlformats.org/drawingml/2006/chartDrawing">
    <cdr:from>
      <cdr:x>0.48407</cdr:x>
      <cdr:y>0.34885</cdr:y>
    </cdr:from>
    <cdr:to>
      <cdr:x>0.55807</cdr:x>
      <cdr:y>0.38185</cdr:y>
    </cdr:to>
    <cdr:sp macro="" textlink="">
      <cdr:nvSpPr>
        <cdr:cNvPr id="29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0522" y="1793522"/>
          <a:ext cx="678533" cy="195163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FF0000"/>
              </a:solidFill>
              <a:latin typeface="Times New Roman"/>
              <a:cs typeface="Times New Roman"/>
            </a:rPr>
            <a:t>VÙNG D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1195388</xdr:colOff>
      <xdr:row>0</xdr:row>
      <xdr:rowOff>0</xdr:rowOff>
    </xdr:to>
    <xdr:sp macro="" textlink="">
      <xdr:nvSpPr>
        <xdr:cNvPr id="1019928" name="Line 1">
          <a:extLst>
            <a:ext uri="{FF2B5EF4-FFF2-40B4-BE49-F238E27FC236}">
              <a16:creationId xmlns:a16="http://schemas.microsoft.com/office/drawing/2014/main" id="{92ECD774-94F2-B963-3D4B-D2E5DF70FF74}"/>
            </a:ext>
          </a:extLst>
        </xdr:cNvPr>
        <xdr:cNvSpPr>
          <a:spLocks noChangeShapeType="1"/>
        </xdr:cNvSpPr>
      </xdr:nvSpPr>
      <xdr:spPr bwMode="auto">
        <a:xfrm flipH="1" flipV="1">
          <a:off x="0" y="0"/>
          <a:ext cx="119538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08634" cy="561294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91228-8EC8-01E4-C344-B4D0AAF851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0.08025</cdr:x>
      <cdr:y>0.19325</cdr:y>
    </cdr:from>
    <cdr:to>
      <cdr:x>0.173</cdr:x>
      <cdr:y>0.224</cdr:y>
    </cdr:to>
    <cdr:sp macro="" textlink="">
      <cdr:nvSpPr>
        <cdr:cNvPr id="777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091" y="893340"/>
          <a:ext cx="877512" cy="1912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MNKT = 26.92</a:t>
          </a:r>
        </a:p>
      </cdr:txBody>
    </cdr:sp>
  </cdr:relSizeAnchor>
  <cdr:relSizeAnchor xmlns:cdr="http://schemas.openxmlformats.org/drawingml/2006/chartDrawing">
    <cdr:from>
      <cdr:x>0.462</cdr:x>
      <cdr:y>0.2825</cdr:y>
    </cdr:from>
    <cdr:to>
      <cdr:x>0.471</cdr:x>
      <cdr:y>0.327</cdr:y>
    </cdr:to>
    <cdr:sp macro="" textlink="">
      <cdr:nvSpPr>
        <cdr:cNvPr id="69837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78978" y="1439270"/>
          <a:ext cx="85821" cy="275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0.0745</cdr:x>
      <cdr:y>0.29775</cdr:y>
    </cdr:from>
    <cdr:to>
      <cdr:x>0.18275</cdr:x>
      <cdr:y>0.33825</cdr:y>
    </cdr:to>
    <cdr:sp macro="" textlink="">
      <cdr:nvSpPr>
        <cdr:cNvPr id="87256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9934" y="1524140"/>
          <a:ext cx="922661" cy="24798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MNTK = 25.10</a:t>
          </a:r>
        </a:p>
      </cdr:txBody>
    </cdr:sp>
  </cdr:relSizeAnchor>
  <cdr:relSizeAnchor xmlns:cdr="http://schemas.openxmlformats.org/drawingml/2006/chartDrawing">
    <cdr:from>
      <cdr:x>0.34675</cdr:x>
      <cdr:y>0.54175</cdr:y>
    </cdr:from>
    <cdr:to>
      <cdr:x>0.3525</cdr:x>
      <cdr:y>0.57</cdr:y>
    </cdr:to>
    <cdr:sp macro="" textlink="">
      <cdr:nvSpPr>
        <cdr:cNvPr id="69837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352" y="3028890"/>
          <a:ext cx="53638" cy="179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925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                                                                                   </a:t>
          </a:r>
        </a:p>
      </cdr:txBody>
    </cdr:sp>
  </cdr:relSizeAnchor>
  <cdr:relSizeAnchor xmlns:cdr="http://schemas.openxmlformats.org/drawingml/2006/chartDrawing">
    <cdr:from>
      <cdr:x>0.22975</cdr:x>
      <cdr:y>0.8025</cdr:y>
    </cdr:from>
    <cdr:to>
      <cdr:x>0.3035</cdr:x>
      <cdr:y>0.83175</cdr:y>
    </cdr:to>
    <cdr:sp macro="" textlink="">
      <cdr:nvSpPr>
        <cdr:cNvPr id="69837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56702" y="4690036"/>
          <a:ext cx="703726" cy="17954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MNC = 17.00 m</a:t>
          </a:r>
        </a:p>
      </cdr:txBody>
    </cdr:sp>
  </cdr:relSizeAnchor>
  <cdr:relSizeAnchor xmlns:cdr="http://schemas.openxmlformats.org/drawingml/2006/chartDrawing">
    <cdr:from>
      <cdr:x>0.0755</cdr:x>
      <cdr:y>0.8935</cdr:y>
    </cdr:from>
    <cdr:to>
      <cdr:x>0.09525</cdr:x>
      <cdr:y>0.9265</cdr:y>
    </cdr:to>
    <cdr:sp macro="" textlink="">
      <cdr:nvSpPr>
        <cdr:cNvPr id="698375" name="Oval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5946" y="5212611"/>
          <a:ext cx="167349" cy="178084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925" b="0" i="0" strike="noStrike">
              <a:solidFill>
                <a:srgbClr val="000000"/>
              </a:solidFill>
              <a:latin typeface="Times New Roman"/>
              <a:cs typeface="Times New Roman"/>
            </a:rPr>
            <a:t>1</a:t>
          </a:r>
        </a:p>
      </cdr:txBody>
    </cdr:sp>
  </cdr:relSizeAnchor>
  <cdr:relSizeAnchor xmlns:cdr="http://schemas.openxmlformats.org/drawingml/2006/chartDrawing">
    <cdr:from>
      <cdr:x>0.1035</cdr:x>
      <cdr:y>0.893</cdr:y>
    </cdr:from>
    <cdr:to>
      <cdr:x>0.34825</cdr:x>
      <cdr:y>0.93225</cdr:y>
    </cdr:to>
    <cdr:sp macro="" textlink="">
      <cdr:nvSpPr>
        <cdr:cNvPr id="964615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12080" y="4991824"/>
          <a:ext cx="2241628" cy="216732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Đường PPH theo QTVH liên hồ QĐ 1895</a:t>
          </a:r>
        </a:p>
      </cdr:txBody>
    </cdr:sp>
  </cdr:relSizeAnchor>
  <cdr:relSizeAnchor xmlns:cdr="http://schemas.openxmlformats.org/drawingml/2006/chartDrawing">
    <cdr:from>
      <cdr:x>0.393</cdr:x>
      <cdr:y>0.8825</cdr:y>
    </cdr:from>
    <cdr:to>
      <cdr:x>0.67075</cdr:x>
      <cdr:y>0.912</cdr:y>
    </cdr:to>
    <cdr:sp macro="" textlink="">
      <cdr:nvSpPr>
        <cdr:cNvPr id="964616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66640" y="5005807"/>
          <a:ext cx="2538849" cy="163597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Đường HCCN theo QTVH liên hồ QĐ 1895</a:t>
          </a:r>
        </a:p>
      </cdr:txBody>
    </cdr:sp>
  </cdr:relSizeAnchor>
  <cdr:relSizeAnchor xmlns:cdr="http://schemas.openxmlformats.org/drawingml/2006/chartDrawing">
    <cdr:from>
      <cdr:x>0.09525</cdr:x>
      <cdr:y>0.93925</cdr:y>
    </cdr:from>
    <cdr:to>
      <cdr:x>0.327</cdr:x>
      <cdr:y>0.9775</cdr:y>
    </cdr:to>
    <cdr:sp macro="" textlink="">
      <cdr:nvSpPr>
        <cdr:cNvPr id="964617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78047" y="5264487"/>
          <a:ext cx="2119110" cy="21952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Đường phòng phá hoại xây dựng mới </a:t>
          </a:r>
        </a:p>
      </cdr:txBody>
    </cdr:sp>
  </cdr:relSizeAnchor>
  <cdr:relSizeAnchor xmlns:cdr="http://schemas.openxmlformats.org/drawingml/2006/chartDrawing">
    <cdr:from>
      <cdr:x>0.06725</cdr:x>
      <cdr:y>0.354</cdr:y>
    </cdr:from>
    <cdr:to>
      <cdr:x>0.1955</cdr:x>
      <cdr:y>0.38825</cdr:y>
    </cdr:to>
    <cdr:sp macro="" textlink="">
      <cdr:nvSpPr>
        <cdr:cNvPr id="1020938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234" y="1810964"/>
          <a:ext cx="1178966" cy="20371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MNDBT = 24.40</a:t>
          </a:r>
        </a:p>
      </cdr:txBody>
    </cdr:sp>
  </cdr:relSizeAnchor>
  <cdr:relSizeAnchor xmlns:cdr="http://schemas.openxmlformats.org/drawingml/2006/chartDrawing">
    <cdr:from>
      <cdr:x>0.0755</cdr:x>
      <cdr:y>0.10475</cdr:y>
    </cdr:from>
    <cdr:to>
      <cdr:x>0.16875</cdr:x>
      <cdr:y>0.15375</cdr:y>
    </cdr:to>
    <cdr:sp macro="" textlink="">
      <cdr:nvSpPr>
        <cdr:cNvPr id="872460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34275" y="411851"/>
          <a:ext cx="789935" cy="21897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CTĐĐ = 28.00</a:t>
          </a:r>
        </a:p>
      </cdr:txBody>
    </cdr:sp>
  </cdr:relSizeAnchor>
  <cdr:relSizeAnchor xmlns:cdr="http://schemas.openxmlformats.org/drawingml/2006/chartDrawing">
    <cdr:from>
      <cdr:x>0.53863</cdr:x>
      <cdr:y>0.42931</cdr:y>
    </cdr:from>
    <cdr:to>
      <cdr:x>0.56038</cdr:x>
      <cdr:y>0.46156</cdr:y>
    </cdr:to>
    <cdr:sp macro="" textlink="">
      <cdr:nvSpPr>
        <cdr:cNvPr id="777567" name="Oval 15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68284" y="2318485"/>
          <a:ext cx="200157" cy="187918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1</a:t>
          </a:r>
        </a:p>
      </cdr:txBody>
    </cdr:sp>
  </cdr:relSizeAnchor>
  <cdr:relSizeAnchor xmlns:cdr="http://schemas.openxmlformats.org/drawingml/2006/chartDrawing">
    <cdr:from>
      <cdr:x>0.2614</cdr:x>
      <cdr:y>0.54357</cdr:y>
    </cdr:from>
    <cdr:to>
      <cdr:x>0.28315</cdr:x>
      <cdr:y>0.57657</cdr:y>
    </cdr:to>
    <cdr:sp macro="" textlink="">
      <cdr:nvSpPr>
        <cdr:cNvPr id="777568" name="Oval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98644" y="2984626"/>
          <a:ext cx="200157" cy="187918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2</a:t>
          </a:r>
        </a:p>
      </cdr:txBody>
    </cdr:sp>
  </cdr:relSizeAnchor>
  <cdr:relSizeAnchor xmlns:cdr="http://schemas.openxmlformats.org/drawingml/2006/chartDrawing">
    <cdr:from>
      <cdr:x>0.40225</cdr:x>
      <cdr:y>0.62875</cdr:y>
    </cdr:from>
    <cdr:to>
      <cdr:x>0.47625</cdr:x>
      <cdr:y>0.663</cdr:y>
    </cdr:to>
    <cdr:sp macro="" textlink="">
      <cdr:nvSpPr>
        <cdr:cNvPr id="698388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12565" y="3624451"/>
          <a:ext cx="705871" cy="2101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VÙNG A</a:t>
          </a:r>
        </a:p>
      </cdr:txBody>
    </cdr:sp>
  </cdr:relSizeAnchor>
  <cdr:relSizeAnchor xmlns:cdr="http://schemas.openxmlformats.org/drawingml/2006/chartDrawing">
    <cdr:from>
      <cdr:x>0.40325</cdr:x>
      <cdr:y>0.44575</cdr:y>
    </cdr:from>
    <cdr:to>
      <cdr:x>0.47725</cdr:x>
      <cdr:y>0.4795</cdr:y>
    </cdr:to>
    <cdr:sp macro="" textlink="">
      <cdr:nvSpPr>
        <cdr:cNvPr id="698389" name="Text Box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12565" y="2653746"/>
          <a:ext cx="705871" cy="2101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VÙNG B</a:t>
          </a:r>
        </a:p>
      </cdr:txBody>
    </cdr:sp>
  </cdr:relSizeAnchor>
  <cdr:relSizeAnchor xmlns:cdr="http://schemas.openxmlformats.org/drawingml/2006/chartDrawing">
    <cdr:from>
      <cdr:x>0.65816</cdr:x>
      <cdr:y>0.89788</cdr:y>
    </cdr:from>
    <cdr:to>
      <cdr:x>0.81141</cdr:x>
      <cdr:y>0.93413</cdr:y>
    </cdr:to>
    <cdr:sp macro="" textlink="">
      <cdr:nvSpPr>
        <cdr:cNvPr id="698392" name="Text Box 2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75162" y="5032470"/>
          <a:ext cx="1419503" cy="2061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vi-VN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Vùng A : Vùng hạn chế cấp nước</a:t>
          </a:r>
        </a:p>
      </cdr:txBody>
    </cdr:sp>
  </cdr:relSizeAnchor>
  <cdr:relSizeAnchor xmlns:cdr="http://schemas.openxmlformats.org/drawingml/2006/chartDrawing">
    <cdr:from>
      <cdr:x>0.65854</cdr:x>
      <cdr:y>0.93887</cdr:y>
    </cdr:from>
    <cdr:to>
      <cdr:x>0.89029</cdr:x>
      <cdr:y>0.97312</cdr:y>
    </cdr:to>
    <cdr:sp macro="" textlink="">
      <cdr:nvSpPr>
        <cdr:cNvPr id="872583" name="Text Box 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78723" y="5265154"/>
          <a:ext cx="2146510" cy="192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vi-VN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Vùng B : Vùng cấp nước bình thường</a:t>
          </a:r>
        </a:p>
      </cdr:txBody>
    </cdr:sp>
  </cdr:relSizeAnchor>
  <cdr:relSizeAnchor xmlns:cdr="http://schemas.openxmlformats.org/drawingml/2006/chartDrawing">
    <cdr:from>
      <cdr:x>0.0755</cdr:x>
      <cdr:y>0.937</cdr:y>
    </cdr:from>
    <cdr:to>
      <cdr:x>0.09525</cdr:x>
      <cdr:y>0.971</cdr:y>
    </cdr:to>
    <cdr:sp macro="" textlink="">
      <cdr:nvSpPr>
        <cdr:cNvPr id="2" name="Oval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5946" y="5212611"/>
          <a:ext cx="167349" cy="178084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</a:t>
          </a:r>
        </a:p>
      </cdr:txBody>
    </cdr:sp>
  </cdr:relSizeAnchor>
  <cdr:relSizeAnchor xmlns:cdr="http://schemas.openxmlformats.org/drawingml/2006/chartDrawing">
    <cdr:from>
      <cdr:x>0.39299</cdr:x>
      <cdr:y>0.88262</cdr:y>
    </cdr:from>
    <cdr:to>
      <cdr:x>0.4093</cdr:x>
      <cdr:y>0.91759</cdr:y>
    </cdr:to>
    <cdr:sp macro="" textlink="">
      <cdr:nvSpPr>
        <cdr:cNvPr id="964627" name="Oval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16570" y="5005754"/>
          <a:ext cx="152400" cy="196151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</a:t>
          </a:r>
        </a:p>
      </cdr:txBody>
    </cdr:sp>
  </cdr:relSizeAnchor>
  <cdr:relSizeAnchor xmlns:cdr="http://schemas.openxmlformats.org/drawingml/2006/chartDrawing">
    <cdr:from>
      <cdr:x>0.5265</cdr:x>
      <cdr:y>0.56175</cdr:y>
    </cdr:from>
    <cdr:to>
      <cdr:x>0.54825</cdr:x>
      <cdr:y>0.60475</cdr:y>
    </cdr:to>
    <cdr:sp macro="" textlink="">
      <cdr:nvSpPr>
        <cdr:cNvPr id="1020948" name="Oval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56328" y="3043095"/>
          <a:ext cx="200333" cy="254293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3</a:t>
          </a:r>
        </a:p>
      </cdr:txBody>
    </cdr:sp>
  </cdr:relSizeAnchor>
  <cdr:relSizeAnchor xmlns:cdr="http://schemas.openxmlformats.org/drawingml/2006/chartDrawing">
    <cdr:from>
      <cdr:x>0.29825</cdr:x>
      <cdr:y>0.6505</cdr:y>
    </cdr:from>
    <cdr:to>
      <cdr:x>0.32</cdr:x>
      <cdr:y>0.69225</cdr:y>
    </cdr:to>
    <cdr:sp macro="" textlink="">
      <cdr:nvSpPr>
        <cdr:cNvPr id="1020949" name="Oval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58597" y="3567136"/>
          <a:ext cx="198030" cy="245864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4</a:t>
          </a:r>
        </a:p>
      </cdr:txBody>
    </cdr:sp>
  </cdr:relSizeAnchor>
  <cdr:relSizeAnchor xmlns:cdr="http://schemas.openxmlformats.org/drawingml/2006/chartDrawing">
    <cdr:from>
      <cdr:x>0.40925</cdr:x>
      <cdr:y>0.92275</cdr:y>
    </cdr:from>
    <cdr:to>
      <cdr:x>0.63225</cdr:x>
      <cdr:y>0.96175</cdr:y>
    </cdr:to>
    <cdr:sp macro="" textlink="">
      <cdr:nvSpPr>
        <cdr:cNvPr id="1020950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78679" y="5168765"/>
          <a:ext cx="2049376" cy="2276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5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Đường hạn chế cấp nước xây dựng mới</a:t>
          </a:r>
        </a:p>
      </cdr:txBody>
    </cdr:sp>
  </cdr:relSizeAnchor>
  <cdr:relSizeAnchor xmlns:cdr="http://schemas.openxmlformats.org/drawingml/2006/chartDrawing">
    <cdr:from>
      <cdr:x>0.393</cdr:x>
      <cdr:y>0.92275</cdr:y>
    </cdr:from>
    <cdr:to>
      <cdr:x>0.40925</cdr:x>
      <cdr:y>0.96125</cdr:y>
    </cdr:to>
    <cdr:sp macro="" textlink="">
      <cdr:nvSpPr>
        <cdr:cNvPr id="1020951" name="Oval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29006" y="5168765"/>
          <a:ext cx="149673" cy="22479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</a:t>
          </a:r>
        </a:p>
      </cdr:txBody>
    </cdr:sp>
  </cdr:relSizeAnchor>
  <cdr:relSizeAnchor xmlns:cdr="http://schemas.openxmlformats.org/drawingml/2006/chartDrawing">
    <cdr:from>
      <cdr:x>0.39304</cdr:x>
      <cdr:y>0.96116</cdr:y>
    </cdr:from>
    <cdr:to>
      <cdr:x>0.68095</cdr:x>
      <cdr:y>0.991</cdr:y>
    </cdr:to>
    <cdr:sp macro="" textlink="">
      <cdr:nvSpPr>
        <cdr:cNvPr id="964632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26212" y="5440680"/>
          <a:ext cx="2667908" cy="168812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22860" rIns="27432" bIns="22860" anchor="ctr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Đường phòng lũ theo QTVH liên hồ QĐ 1895</a:t>
          </a:r>
          <a:endParaRPr lang="en-US" sz="9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 xmlns:a="http://schemas.openxmlformats.org/drawingml/2006/main">
          <a:pPr algn="ctr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cdr:txBody>
    </cdr:sp>
  </cdr:relSizeAnchor>
  <cdr:relSizeAnchor xmlns:cdr="http://schemas.openxmlformats.org/drawingml/2006/chartDrawing">
    <cdr:from>
      <cdr:x>0.39225</cdr:x>
      <cdr:y>0.96125</cdr:y>
    </cdr:from>
    <cdr:to>
      <cdr:x>0.40925</cdr:x>
      <cdr:y>0.99875</cdr:y>
    </cdr:to>
    <cdr:sp macro="" textlink="">
      <cdr:nvSpPr>
        <cdr:cNvPr id="1020953" name="Oval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19795" y="5393555"/>
          <a:ext cx="158884" cy="21917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5</a:t>
          </a:r>
        </a:p>
      </cdr:txBody>
    </cdr:sp>
  </cdr:relSizeAnchor>
  <cdr:relSizeAnchor xmlns:cdr="http://schemas.openxmlformats.org/drawingml/2006/chartDrawing">
    <cdr:from>
      <cdr:x>0.18282</cdr:x>
      <cdr:y>0.47978</cdr:y>
    </cdr:from>
    <cdr:to>
      <cdr:x>0.20457</cdr:x>
      <cdr:y>0.51228</cdr:y>
    </cdr:to>
    <cdr:sp macro="" textlink="">
      <cdr:nvSpPr>
        <cdr:cNvPr id="7" name="Oval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87053" y="2499171"/>
          <a:ext cx="200157" cy="190722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5</a:t>
          </a:r>
        </a:p>
      </cdr:txBody>
    </cdr:sp>
  </cdr:relSizeAnchor>
  <cdr:relSizeAnchor xmlns:cdr="http://schemas.openxmlformats.org/drawingml/2006/chartDrawing">
    <cdr:from>
      <cdr:x>0.62515</cdr:x>
      <cdr:y>0.45241</cdr:y>
    </cdr:from>
    <cdr:to>
      <cdr:x>0.64665</cdr:x>
      <cdr:y>0.48391</cdr:y>
    </cdr:to>
    <cdr:sp macro="" textlink="">
      <cdr:nvSpPr>
        <cdr:cNvPr id="28" name="Oval 2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69113" y="2449443"/>
          <a:ext cx="200157" cy="187918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925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9403-4626-4580-A304-8CA1FD0DF122}">
  <sheetPr>
    <tabColor indexed="11"/>
  </sheetPr>
  <dimension ref="A1:AP125"/>
  <sheetViews>
    <sheetView tabSelected="1" zoomScaleNormal="100" workbookViewId="0">
      <selection activeCell="C1" sqref="C1"/>
    </sheetView>
  </sheetViews>
  <sheetFormatPr defaultColWidth="9.1328125" defaultRowHeight="11.65" x14ac:dyDescent="0.35"/>
  <cols>
    <col min="1" max="1" width="4.73046875" style="5" customWidth="1"/>
    <col min="2" max="2" width="16.73046875" style="10" customWidth="1"/>
    <col min="3" max="19" width="6.73046875" style="5" customWidth="1"/>
    <col min="20" max="20" width="6.86328125" style="5" customWidth="1"/>
    <col min="21" max="37" width="6.73046875" style="5" customWidth="1"/>
    <col min="38" max="41" width="9.1328125" style="5"/>
    <col min="42" max="42" width="17.1328125" style="5" customWidth="1"/>
    <col min="43" max="16384" width="9.1328125" style="5"/>
  </cols>
  <sheetData>
    <row r="1" spans="1:42" x14ac:dyDescent="0.35">
      <c r="B1" s="3" t="s">
        <v>5</v>
      </c>
      <c r="C1" s="4">
        <v>41456</v>
      </c>
      <c r="D1" s="4">
        <v>41470</v>
      </c>
      <c r="E1" s="4">
        <v>41471</v>
      </c>
      <c r="F1" s="4">
        <v>41486</v>
      </c>
      <c r="G1" s="4">
        <v>41487</v>
      </c>
      <c r="H1" s="4">
        <v>41501</v>
      </c>
      <c r="I1" s="4">
        <v>41502</v>
      </c>
      <c r="J1" s="4">
        <v>41517</v>
      </c>
      <c r="K1" s="4">
        <v>41518</v>
      </c>
      <c r="L1" s="4">
        <v>41532</v>
      </c>
      <c r="M1" s="4">
        <v>41533</v>
      </c>
      <c r="N1" s="4">
        <v>41547</v>
      </c>
      <c r="O1" s="4">
        <v>41548</v>
      </c>
      <c r="P1" s="4">
        <v>41562</v>
      </c>
      <c r="Q1" s="4">
        <v>41563</v>
      </c>
      <c r="R1" s="4">
        <v>41578</v>
      </c>
      <c r="S1" s="4">
        <v>41579</v>
      </c>
      <c r="T1" s="4">
        <v>41609</v>
      </c>
      <c r="U1" s="4">
        <v>41619</v>
      </c>
      <c r="V1" s="4">
        <v>41629</v>
      </c>
      <c r="W1" s="4">
        <v>41640</v>
      </c>
      <c r="X1" s="4">
        <v>41650</v>
      </c>
      <c r="Y1" s="4">
        <v>41660</v>
      </c>
      <c r="Z1" s="4">
        <v>41671</v>
      </c>
      <c r="AA1" s="4">
        <v>41681</v>
      </c>
      <c r="AB1" s="4">
        <v>41691</v>
      </c>
      <c r="AC1" s="4">
        <v>41699</v>
      </c>
      <c r="AD1" s="4">
        <v>41709</v>
      </c>
      <c r="AE1" s="4">
        <v>41719</v>
      </c>
      <c r="AF1" s="4">
        <v>41730</v>
      </c>
      <c r="AG1" s="4">
        <v>41740</v>
      </c>
      <c r="AH1" s="4">
        <v>41750</v>
      </c>
      <c r="AI1" s="4">
        <v>41760</v>
      </c>
      <c r="AJ1" s="4">
        <v>41770</v>
      </c>
      <c r="AK1" s="4">
        <v>41780</v>
      </c>
      <c r="AL1" s="4">
        <v>41791</v>
      </c>
      <c r="AM1" s="4">
        <v>41801</v>
      </c>
      <c r="AN1" s="4">
        <v>41811</v>
      </c>
      <c r="AO1" s="4">
        <v>41820</v>
      </c>
    </row>
    <row r="2" spans="1:42" s="40" customFormat="1" x14ac:dyDescent="0.35">
      <c r="A2" s="40">
        <v>1</v>
      </c>
      <c r="B2" s="41" t="s">
        <v>14</v>
      </c>
      <c r="C2" s="42">
        <v>17</v>
      </c>
      <c r="D2" s="43">
        <f>+E2</f>
        <v>17.164999999999999</v>
      </c>
      <c r="E2" s="42">
        <v>17.164999999999999</v>
      </c>
      <c r="F2" s="43">
        <f>+G2</f>
        <v>17.329999999999998</v>
      </c>
      <c r="G2" s="42">
        <v>17.329999999999998</v>
      </c>
      <c r="H2" s="43">
        <f>+I2</f>
        <v>17.564999999999998</v>
      </c>
      <c r="I2" s="42">
        <v>17.564999999999998</v>
      </c>
      <c r="J2" s="43">
        <f>+K2</f>
        <v>17.8</v>
      </c>
      <c r="K2" s="42">
        <v>17.8</v>
      </c>
      <c r="L2" s="43">
        <f>+M2</f>
        <v>18.68</v>
      </c>
      <c r="M2" s="42">
        <v>18.68</v>
      </c>
      <c r="N2" s="43">
        <f>+O2</f>
        <v>19.559999999999999</v>
      </c>
      <c r="O2" s="42">
        <v>19.559999999999999</v>
      </c>
      <c r="P2" s="43">
        <f>+Q2</f>
        <v>20.38</v>
      </c>
      <c r="Q2" s="42">
        <v>20.38</v>
      </c>
      <c r="R2" s="43">
        <f>+S2</f>
        <v>21.2</v>
      </c>
      <c r="S2" s="42">
        <v>21.2</v>
      </c>
      <c r="T2" s="43">
        <v>21.67</v>
      </c>
      <c r="U2" s="43">
        <v>21.6</v>
      </c>
      <c r="V2" s="43">
        <v>21.55</v>
      </c>
      <c r="W2" s="43">
        <v>21.5</v>
      </c>
      <c r="X2" s="43">
        <v>21.21</v>
      </c>
      <c r="Y2" s="43">
        <v>21.03</v>
      </c>
      <c r="Z2" s="43">
        <v>20.81</v>
      </c>
      <c r="AA2" s="43">
        <v>20.51</v>
      </c>
      <c r="AB2" s="43">
        <v>20.21</v>
      </c>
      <c r="AC2" s="43">
        <v>19.97</v>
      </c>
      <c r="AD2" s="43">
        <v>19.46</v>
      </c>
      <c r="AE2" s="43">
        <v>19.03</v>
      </c>
      <c r="AF2" s="43">
        <v>18.59</v>
      </c>
      <c r="AG2" s="43">
        <v>18.28</v>
      </c>
      <c r="AH2" s="43">
        <v>17.98</v>
      </c>
      <c r="AI2" s="43">
        <v>17.7</v>
      </c>
      <c r="AJ2" s="43">
        <v>17.48</v>
      </c>
      <c r="AK2" s="43">
        <v>17.45</v>
      </c>
      <c r="AL2" s="43">
        <v>17.399999999999999</v>
      </c>
      <c r="AM2" s="43">
        <v>17.38</v>
      </c>
      <c r="AN2" s="43">
        <v>17.350000000000001</v>
      </c>
      <c r="AO2" s="43">
        <v>17</v>
      </c>
      <c r="AP2" s="40" t="s">
        <v>41</v>
      </c>
    </row>
    <row r="3" spans="1:42" s="40" customFormat="1" x14ac:dyDescent="0.35">
      <c r="A3" s="40">
        <v>2</v>
      </c>
      <c r="B3" s="41" t="s">
        <v>13</v>
      </c>
      <c r="C3" s="42">
        <v>19</v>
      </c>
      <c r="D3" s="43">
        <v>19.2</v>
      </c>
      <c r="E3" s="42">
        <v>19.234999999999999</v>
      </c>
      <c r="F3" s="43">
        <v>19.399999999999999</v>
      </c>
      <c r="G3" s="42">
        <v>19.47</v>
      </c>
      <c r="H3" s="43">
        <v>19.899999999999999</v>
      </c>
      <c r="I3" s="42">
        <v>19.96</v>
      </c>
      <c r="J3" s="43">
        <v>20.399999999999999</v>
      </c>
      <c r="K3" s="42">
        <v>20.45</v>
      </c>
      <c r="L3" s="43">
        <v>21.3</v>
      </c>
      <c r="M3" s="42">
        <v>21.344999999999999</v>
      </c>
      <c r="N3" s="43">
        <v>22.15</v>
      </c>
      <c r="O3" s="42">
        <v>22.24</v>
      </c>
      <c r="P3" s="43">
        <v>23</v>
      </c>
      <c r="Q3" s="42">
        <v>23.085000000000001</v>
      </c>
      <c r="R3" s="43">
        <v>23.8</v>
      </c>
      <c r="S3" s="42">
        <v>23.93</v>
      </c>
      <c r="T3" s="42">
        <v>24.4</v>
      </c>
      <c r="U3" s="42">
        <v>24.4</v>
      </c>
      <c r="V3" s="42">
        <v>24.4</v>
      </c>
      <c r="W3" s="42">
        <v>24.4</v>
      </c>
      <c r="X3" s="42">
        <v>24.187096774193549</v>
      </c>
      <c r="Y3" s="42">
        <v>23.993548387096773</v>
      </c>
      <c r="Z3" s="42">
        <v>23.8</v>
      </c>
      <c r="AA3" s="42">
        <v>23.336428571428574</v>
      </c>
      <c r="AB3" s="42">
        <v>22.914999999999999</v>
      </c>
      <c r="AC3" s="42">
        <v>22.62</v>
      </c>
      <c r="AD3" s="42">
        <v>22.11967741935484</v>
      </c>
      <c r="AE3" s="42">
        <v>21.664838709677419</v>
      </c>
      <c r="AF3" s="42">
        <v>21.21</v>
      </c>
      <c r="AG3" s="42">
        <v>20.843333333333334</v>
      </c>
      <c r="AH3" s="42">
        <v>20.51</v>
      </c>
      <c r="AI3" s="42">
        <v>20.21</v>
      </c>
      <c r="AJ3" s="42">
        <v>20.025483870967744</v>
      </c>
      <c r="AK3" s="42">
        <v>19.857741935483872</v>
      </c>
      <c r="AL3" s="42">
        <v>19.690000000000001</v>
      </c>
      <c r="AM3" s="42">
        <v>19.437000000000001</v>
      </c>
      <c r="AN3" s="42">
        <v>19.207000000000001</v>
      </c>
      <c r="AO3" s="42">
        <v>19</v>
      </c>
    </row>
    <row r="4" spans="1:42" s="44" customFormat="1" x14ac:dyDescent="0.35">
      <c r="A4" s="44">
        <v>3</v>
      </c>
      <c r="B4" s="45" t="s">
        <v>20</v>
      </c>
      <c r="C4" s="46">
        <v>20.3</v>
      </c>
      <c r="D4" s="46">
        <v>20.3</v>
      </c>
      <c r="E4" s="46">
        <v>21.2</v>
      </c>
      <c r="F4" s="46">
        <v>21.2</v>
      </c>
      <c r="G4" s="46">
        <v>22.1</v>
      </c>
      <c r="H4" s="46">
        <v>22.1</v>
      </c>
      <c r="I4" s="46">
        <v>22.7</v>
      </c>
      <c r="J4" s="46">
        <v>22.7</v>
      </c>
      <c r="K4" s="46">
        <v>23.3</v>
      </c>
      <c r="L4" s="46">
        <v>23.3</v>
      </c>
      <c r="M4" s="46">
        <v>23.65</v>
      </c>
      <c r="N4" s="46">
        <v>23.65</v>
      </c>
      <c r="O4" s="46">
        <v>24</v>
      </c>
      <c r="P4" s="46">
        <v>24</v>
      </c>
      <c r="Q4" s="46">
        <v>24.4</v>
      </c>
      <c r="R4" s="46">
        <v>24.4</v>
      </c>
      <c r="S4" s="46">
        <v>24.4</v>
      </c>
      <c r="T4" s="46">
        <v>24.4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</row>
    <row r="5" spans="1:42" s="44" customFormat="1" x14ac:dyDescent="0.35">
      <c r="A5" s="44">
        <v>4</v>
      </c>
      <c r="B5" s="45" t="s">
        <v>1</v>
      </c>
      <c r="C5" s="46">
        <v>24.4</v>
      </c>
      <c r="D5" s="46">
        <v>24.4</v>
      </c>
      <c r="E5" s="46">
        <v>24.4</v>
      </c>
      <c r="F5" s="46">
        <v>24.4</v>
      </c>
      <c r="G5" s="46">
        <v>24.4</v>
      </c>
      <c r="H5" s="46">
        <v>24.4</v>
      </c>
      <c r="I5" s="46">
        <v>24.4</v>
      </c>
      <c r="J5" s="46">
        <v>24.4</v>
      </c>
      <c r="K5" s="46">
        <v>24.4</v>
      </c>
      <c r="L5" s="46">
        <v>24.4</v>
      </c>
      <c r="M5" s="46">
        <v>24.4</v>
      </c>
      <c r="N5" s="46">
        <v>24.4</v>
      </c>
      <c r="O5" s="46">
        <v>24.4</v>
      </c>
      <c r="P5" s="46">
        <v>24.4</v>
      </c>
      <c r="Q5" s="46">
        <v>24.4</v>
      </c>
      <c r="R5" s="46">
        <v>24.4</v>
      </c>
      <c r="S5" s="46">
        <v>24.4</v>
      </c>
      <c r="T5" s="46">
        <v>24.4</v>
      </c>
      <c r="U5" s="46">
        <v>24.4</v>
      </c>
      <c r="V5" s="46">
        <v>24.4</v>
      </c>
      <c r="W5" s="46">
        <v>24.4</v>
      </c>
      <c r="X5" s="46">
        <v>24.4</v>
      </c>
      <c r="Y5" s="46">
        <v>24.4</v>
      </c>
      <c r="Z5" s="46">
        <v>24.4</v>
      </c>
      <c r="AA5" s="46">
        <v>24.4</v>
      </c>
      <c r="AB5" s="46">
        <v>24.4</v>
      </c>
      <c r="AC5" s="46">
        <v>24.4</v>
      </c>
      <c r="AD5" s="46">
        <v>24.4</v>
      </c>
      <c r="AE5" s="46">
        <v>24.4</v>
      </c>
      <c r="AF5" s="46">
        <v>24.4</v>
      </c>
      <c r="AG5" s="46">
        <v>24.4</v>
      </c>
      <c r="AH5" s="46">
        <v>24.4</v>
      </c>
      <c r="AI5" s="46">
        <v>24.4</v>
      </c>
      <c r="AJ5" s="46">
        <v>24.4</v>
      </c>
      <c r="AK5" s="46">
        <v>24.4</v>
      </c>
      <c r="AL5" s="46">
        <v>24.4</v>
      </c>
      <c r="AM5" s="46">
        <v>24.4</v>
      </c>
      <c r="AN5" s="46">
        <v>24.4</v>
      </c>
      <c r="AO5" s="46">
        <v>24.4</v>
      </c>
    </row>
    <row r="6" spans="1:42" s="44" customFormat="1" x14ac:dyDescent="0.35">
      <c r="A6" s="44">
        <v>5</v>
      </c>
      <c r="B6" s="45" t="s">
        <v>2</v>
      </c>
      <c r="C6" s="46">
        <v>25.1</v>
      </c>
      <c r="D6" s="46">
        <v>25.1</v>
      </c>
      <c r="E6" s="46">
        <v>25.1</v>
      </c>
      <c r="F6" s="46">
        <v>25.1</v>
      </c>
      <c r="G6" s="46">
        <v>25.1</v>
      </c>
      <c r="H6" s="46">
        <v>25.1</v>
      </c>
      <c r="I6" s="46">
        <v>25.1</v>
      </c>
      <c r="J6" s="46">
        <v>25.1</v>
      </c>
      <c r="K6" s="46">
        <v>25.1</v>
      </c>
      <c r="L6" s="46">
        <v>25.1</v>
      </c>
      <c r="M6" s="46">
        <v>25.1</v>
      </c>
      <c r="N6" s="46">
        <v>25.1</v>
      </c>
      <c r="O6" s="46">
        <v>25.1</v>
      </c>
      <c r="P6" s="46">
        <v>25.1</v>
      </c>
      <c r="Q6" s="46">
        <v>25.1</v>
      </c>
      <c r="R6" s="46">
        <v>25.1</v>
      </c>
      <c r="S6" s="46">
        <v>25.1</v>
      </c>
      <c r="T6" s="46">
        <v>25.1</v>
      </c>
      <c r="U6" s="46">
        <v>25.1</v>
      </c>
      <c r="V6" s="46">
        <v>25.1</v>
      </c>
      <c r="W6" s="46">
        <v>25.1</v>
      </c>
      <c r="X6" s="46">
        <v>25.1</v>
      </c>
      <c r="Y6" s="46">
        <v>25.1</v>
      </c>
      <c r="Z6" s="46">
        <v>25.1</v>
      </c>
      <c r="AA6" s="46">
        <v>25.1</v>
      </c>
      <c r="AB6" s="46">
        <v>25.1</v>
      </c>
      <c r="AC6" s="46">
        <v>25.1</v>
      </c>
      <c r="AD6" s="46">
        <v>25.1</v>
      </c>
      <c r="AE6" s="46">
        <v>25.1</v>
      </c>
      <c r="AF6" s="46">
        <v>25.1</v>
      </c>
      <c r="AG6" s="46">
        <v>25.1</v>
      </c>
      <c r="AH6" s="46">
        <v>25.1</v>
      </c>
      <c r="AI6" s="46">
        <v>25.1</v>
      </c>
      <c r="AJ6" s="46">
        <v>25.1</v>
      </c>
      <c r="AK6" s="46">
        <v>25.1</v>
      </c>
      <c r="AL6" s="46">
        <v>25.1</v>
      </c>
      <c r="AM6" s="46">
        <v>25.1</v>
      </c>
      <c r="AN6" s="46">
        <v>25.1</v>
      </c>
      <c r="AO6" s="46">
        <v>25.1</v>
      </c>
    </row>
    <row r="7" spans="1:42" s="44" customFormat="1" x14ac:dyDescent="0.35">
      <c r="A7" s="44">
        <v>6</v>
      </c>
      <c r="B7" s="45" t="s">
        <v>42</v>
      </c>
      <c r="C7" s="46">
        <v>26.92</v>
      </c>
      <c r="D7" s="46">
        <v>26.92</v>
      </c>
      <c r="E7" s="46">
        <v>26.92</v>
      </c>
      <c r="F7" s="46">
        <v>26.92</v>
      </c>
      <c r="G7" s="46">
        <v>26.92</v>
      </c>
      <c r="H7" s="46">
        <v>26.92</v>
      </c>
      <c r="I7" s="46">
        <v>26.92</v>
      </c>
      <c r="J7" s="46">
        <v>26.92</v>
      </c>
      <c r="K7" s="46">
        <v>26.92</v>
      </c>
      <c r="L7" s="46">
        <v>26.92</v>
      </c>
      <c r="M7" s="46">
        <v>26.92</v>
      </c>
      <c r="N7" s="46">
        <v>26.92</v>
      </c>
      <c r="O7" s="46">
        <v>26.92</v>
      </c>
      <c r="P7" s="46">
        <v>26.92</v>
      </c>
      <c r="Q7" s="46">
        <v>26.92</v>
      </c>
      <c r="R7" s="46">
        <v>26.92</v>
      </c>
      <c r="S7" s="46">
        <v>26.92</v>
      </c>
      <c r="T7" s="46">
        <v>26.92</v>
      </c>
      <c r="U7" s="46">
        <v>26.92</v>
      </c>
      <c r="V7" s="46">
        <v>26.92</v>
      </c>
      <c r="W7" s="46">
        <v>26.92</v>
      </c>
      <c r="X7" s="46">
        <v>26.92</v>
      </c>
      <c r="Y7" s="46">
        <v>26.92</v>
      </c>
      <c r="Z7" s="46">
        <v>26.92</v>
      </c>
      <c r="AA7" s="46">
        <v>26.92</v>
      </c>
      <c r="AB7" s="46">
        <v>26.92</v>
      </c>
      <c r="AC7" s="46">
        <v>26.92</v>
      </c>
      <c r="AD7" s="46">
        <v>26.92</v>
      </c>
      <c r="AE7" s="46">
        <v>26.92</v>
      </c>
      <c r="AF7" s="46">
        <v>26.92</v>
      </c>
      <c r="AG7" s="46">
        <v>26.92</v>
      </c>
      <c r="AH7" s="46">
        <v>26.92</v>
      </c>
      <c r="AI7" s="46">
        <v>26.92</v>
      </c>
      <c r="AJ7" s="46">
        <v>26.92</v>
      </c>
      <c r="AK7" s="46">
        <v>26.92</v>
      </c>
      <c r="AL7" s="46">
        <v>26.92</v>
      </c>
      <c r="AM7" s="46">
        <v>26.92</v>
      </c>
      <c r="AN7" s="46">
        <v>26.92</v>
      </c>
      <c r="AO7" s="46">
        <v>26.92</v>
      </c>
    </row>
    <row r="8" spans="1:42" s="44" customFormat="1" x14ac:dyDescent="0.35">
      <c r="A8" s="44">
        <v>7</v>
      </c>
      <c r="B8" s="45" t="s">
        <v>43</v>
      </c>
      <c r="C8" s="46">
        <v>28</v>
      </c>
      <c r="D8" s="46">
        <v>28</v>
      </c>
      <c r="E8" s="46">
        <v>28</v>
      </c>
      <c r="F8" s="46">
        <v>28</v>
      </c>
      <c r="G8" s="46">
        <v>28</v>
      </c>
      <c r="H8" s="46">
        <v>28</v>
      </c>
      <c r="I8" s="46">
        <v>28</v>
      </c>
      <c r="J8" s="46">
        <v>28</v>
      </c>
      <c r="K8" s="46">
        <v>28</v>
      </c>
      <c r="L8" s="46">
        <v>28</v>
      </c>
      <c r="M8" s="46">
        <v>28</v>
      </c>
      <c r="N8" s="46">
        <v>28</v>
      </c>
      <c r="O8" s="46">
        <v>28</v>
      </c>
      <c r="P8" s="46">
        <v>28</v>
      </c>
      <c r="Q8" s="46">
        <v>28</v>
      </c>
      <c r="R8" s="46">
        <v>28</v>
      </c>
      <c r="S8" s="46">
        <v>28</v>
      </c>
      <c r="T8" s="46">
        <v>28</v>
      </c>
      <c r="U8" s="46">
        <v>28</v>
      </c>
      <c r="V8" s="46">
        <v>28</v>
      </c>
      <c r="W8" s="46">
        <v>28</v>
      </c>
      <c r="X8" s="46">
        <v>28</v>
      </c>
      <c r="Y8" s="46">
        <v>28</v>
      </c>
      <c r="Z8" s="46">
        <v>28</v>
      </c>
      <c r="AA8" s="46">
        <v>28</v>
      </c>
      <c r="AB8" s="46">
        <v>28</v>
      </c>
      <c r="AC8" s="46">
        <v>28</v>
      </c>
      <c r="AD8" s="46">
        <v>28</v>
      </c>
      <c r="AE8" s="46">
        <v>28</v>
      </c>
      <c r="AF8" s="46">
        <v>28</v>
      </c>
      <c r="AG8" s="46">
        <v>28</v>
      </c>
      <c r="AH8" s="46">
        <v>28</v>
      </c>
      <c r="AI8" s="46">
        <v>28</v>
      </c>
      <c r="AJ8" s="46">
        <v>28</v>
      </c>
      <c r="AK8" s="46">
        <v>28</v>
      </c>
      <c r="AL8" s="46">
        <v>28</v>
      </c>
      <c r="AM8" s="46">
        <v>28</v>
      </c>
      <c r="AN8" s="46">
        <v>28</v>
      </c>
      <c r="AO8" s="46">
        <v>28</v>
      </c>
    </row>
    <row r="9" spans="1:42" s="44" customFormat="1" x14ac:dyDescent="0.35">
      <c r="A9" s="44">
        <v>8</v>
      </c>
      <c r="B9" s="45" t="s">
        <v>0</v>
      </c>
      <c r="C9" s="46">
        <v>17</v>
      </c>
      <c r="D9" s="46">
        <v>17</v>
      </c>
      <c r="E9" s="46">
        <v>17</v>
      </c>
      <c r="F9" s="46">
        <v>17</v>
      </c>
      <c r="G9" s="46">
        <v>17</v>
      </c>
      <c r="H9" s="46">
        <v>17</v>
      </c>
      <c r="I9" s="46">
        <v>17</v>
      </c>
      <c r="J9" s="46">
        <v>17</v>
      </c>
      <c r="K9" s="46">
        <v>17</v>
      </c>
      <c r="L9" s="46">
        <v>17</v>
      </c>
      <c r="M9" s="46">
        <v>17</v>
      </c>
      <c r="N9" s="46">
        <v>17</v>
      </c>
      <c r="O9" s="46">
        <v>17</v>
      </c>
      <c r="P9" s="46">
        <v>17</v>
      </c>
      <c r="Q9" s="46">
        <v>17</v>
      </c>
      <c r="R9" s="46">
        <v>17</v>
      </c>
      <c r="S9" s="46">
        <v>17</v>
      </c>
      <c r="T9" s="46">
        <v>17</v>
      </c>
      <c r="U9" s="46">
        <v>17</v>
      </c>
      <c r="V9" s="46">
        <v>17</v>
      </c>
      <c r="W9" s="46">
        <v>17</v>
      </c>
      <c r="X9" s="46">
        <v>17</v>
      </c>
      <c r="Y9" s="46">
        <v>17</v>
      </c>
      <c r="Z9" s="46">
        <v>17</v>
      </c>
      <c r="AA9" s="46">
        <v>17</v>
      </c>
      <c r="AB9" s="46">
        <v>17</v>
      </c>
      <c r="AC9" s="46">
        <v>17</v>
      </c>
      <c r="AD9" s="46">
        <v>17</v>
      </c>
      <c r="AE9" s="46">
        <v>17</v>
      </c>
      <c r="AF9" s="46">
        <v>17</v>
      </c>
      <c r="AG9" s="46">
        <v>17</v>
      </c>
      <c r="AH9" s="46">
        <v>17</v>
      </c>
      <c r="AI9" s="46">
        <v>17</v>
      </c>
      <c r="AJ9" s="46">
        <v>17</v>
      </c>
      <c r="AK9" s="46">
        <v>17</v>
      </c>
      <c r="AL9" s="46">
        <v>17</v>
      </c>
      <c r="AM9" s="46">
        <v>17</v>
      </c>
      <c r="AN9" s="46">
        <v>17</v>
      </c>
      <c r="AO9" s="46">
        <v>17</v>
      </c>
    </row>
    <row r="10" spans="1:42" x14ac:dyDescent="0.35">
      <c r="B10" s="49" t="s">
        <v>45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2" x14ac:dyDescent="0.35">
      <c r="B11" s="49" t="s">
        <v>46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2" x14ac:dyDescent="0.35">
      <c r="B12" s="49" t="s">
        <v>47</v>
      </c>
      <c r="C12" s="4"/>
      <c r="D12" s="48" t="s">
        <v>44</v>
      </c>
      <c r="E12" s="48"/>
      <c r="F12" s="48"/>
      <c r="G12" s="48"/>
      <c r="H12" s="48"/>
      <c r="I12" s="48"/>
      <c r="J12" s="48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2" x14ac:dyDescent="0.35">
      <c r="B13" s="3"/>
      <c r="C13" s="4"/>
      <c r="D13" s="48"/>
      <c r="E13" s="48"/>
      <c r="F13" s="48"/>
      <c r="G13" s="48"/>
      <c r="H13" s="48"/>
      <c r="I13" s="48"/>
      <c r="J13" s="48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2" x14ac:dyDescent="0.3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2" x14ac:dyDescent="0.35"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2" x14ac:dyDescent="0.35"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2" x14ac:dyDescent="0.35"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2" x14ac:dyDescent="0.35">
      <c r="B18" s="3" t="s">
        <v>0</v>
      </c>
      <c r="C18" s="6">
        <v>17</v>
      </c>
      <c r="D18" s="6">
        <v>17</v>
      </c>
      <c r="E18" s="6">
        <v>17</v>
      </c>
      <c r="F18" s="6">
        <v>17</v>
      </c>
      <c r="G18" s="6">
        <v>17</v>
      </c>
      <c r="H18" s="6">
        <v>17</v>
      </c>
      <c r="I18" s="6">
        <v>17</v>
      </c>
      <c r="J18" s="6">
        <v>17</v>
      </c>
      <c r="K18" s="6">
        <v>17</v>
      </c>
      <c r="L18" s="6">
        <v>17</v>
      </c>
      <c r="M18" s="6">
        <v>17</v>
      </c>
      <c r="N18" s="6">
        <v>17</v>
      </c>
      <c r="O18" s="6">
        <v>17</v>
      </c>
      <c r="P18" s="6">
        <v>17</v>
      </c>
      <c r="Q18" s="6">
        <v>17</v>
      </c>
      <c r="R18" s="6">
        <v>17</v>
      </c>
      <c r="S18" s="6">
        <v>17</v>
      </c>
      <c r="T18" s="6">
        <v>17</v>
      </c>
      <c r="U18" s="6">
        <v>17</v>
      </c>
      <c r="V18" s="6">
        <v>17</v>
      </c>
      <c r="W18" s="6">
        <v>17</v>
      </c>
      <c r="X18" s="6">
        <v>17</v>
      </c>
      <c r="Y18" s="6">
        <v>17</v>
      </c>
      <c r="Z18" s="6">
        <v>17</v>
      </c>
      <c r="AA18" s="6">
        <v>17</v>
      </c>
      <c r="AB18" s="6">
        <v>17</v>
      </c>
      <c r="AC18" s="6">
        <v>17</v>
      </c>
      <c r="AD18" s="6">
        <v>17</v>
      </c>
      <c r="AE18" s="6">
        <v>17</v>
      </c>
      <c r="AF18" s="6">
        <v>17</v>
      </c>
      <c r="AG18" s="6">
        <v>17</v>
      </c>
      <c r="AH18" s="6">
        <v>17</v>
      </c>
      <c r="AI18" s="6">
        <v>17</v>
      </c>
      <c r="AJ18" s="6">
        <v>17</v>
      </c>
      <c r="AK18" s="6">
        <v>17</v>
      </c>
      <c r="AL18" s="6">
        <v>17</v>
      </c>
      <c r="AM18" s="6">
        <v>17</v>
      </c>
      <c r="AN18" s="6">
        <v>17</v>
      </c>
      <c r="AO18" s="6">
        <v>17</v>
      </c>
    </row>
    <row r="19" spans="1:42" x14ac:dyDescent="0.35">
      <c r="B19" s="3" t="s">
        <v>1</v>
      </c>
      <c r="C19" s="6">
        <v>24.4</v>
      </c>
      <c r="D19" s="6">
        <v>24.4</v>
      </c>
      <c r="E19" s="6">
        <v>24.4</v>
      </c>
      <c r="F19" s="6">
        <v>24.4</v>
      </c>
      <c r="G19" s="6">
        <v>24.4</v>
      </c>
      <c r="H19" s="6">
        <v>24.4</v>
      </c>
      <c r="I19" s="6">
        <v>24.4</v>
      </c>
      <c r="J19" s="6">
        <v>24.4</v>
      </c>
      <c r="K19" s="6">
        <v>24.4</v>
      </c>
      <c r="L19" s="6">
        <v>24.4</v>
      </c>
      <c r="M19" s="6">
        <v>24.4</v>
      </c>
      <c r="N19" s="6">
        <v>24.4</v>
      </c>
      <c r="O19" s="6">
        <v>24.4</v>
      </c>
      <c r="P19" s="6">
        <v>24.4</v>
      </c>
      <c r="Q19" s="6">
        <v>24.4</v>
      </c>
      <c r="R19" s="6">
        <v>24.4</v>
      </c>
      <c r="S19" s="6">
        <v>24.4</v>
      </c>
      <c r="T19" s="6">
        <v>24.4</v>
      </c>
      <c r="U19" s="6">
        <v>24.4</v>
      </c>
      <c r="V19" s="6">
        <v>24.4</v>
      </c>
      <c r="W19" s="6">
        <v>24.4</v>
      </c>
      <c r="X19" s="6">
        <v>24.4</v>
      </c>
      <c r="Y19" s="6">
        <v>24.4</v>
      </c>
      <c r="Z19" s="6">
        <v>24.4</v>
      </c>
      <c r="AA19" s="6">
        <v>24.4</v>
      </c>
      <c r="AB19" s="6">
        <v>24.4</v>
      </c>
      <c r="AC19" s="6">
        <v>24.4</v>
      </c>
      <c r="AD19" s="6">
        <v>24.4</v>
      </c>
      <c r="AE19" s="6">
        <v>24.4</v>
      </c>
      <c r="AF19" s="6">
        <v>24.4</v>
      </c>
      <c r="AG19" s="6">
        <v>24.4</v>
      </c>
      <c r="AH19" s="6">
        <v>24.4</v>
      </c>
      <c r="AI19" s="6">
        <v>24.4</v>
      </c>
      <c r="AJ19" s="6">
        <v>24.4</v>
      </c>
      <c r="AK19" s="6">
        <v>24.4</v>
      </c>
      <c r="AL19" s="6">
        <v>24.4</v>
      </c>
      <c r="AM19" s="6">
        <v>24.4</v>
      </c>
      <c r="AN19" s="6">
        <v>24.4</v>
      </c>
      <c r="AO19" s="6">
        <v>24.4</v>
      </c>
    </row>
    <row r="20" spans="1:42" x14ac:dyDescent="0.35">
      <c r="B20" s="3" t="s">
        <v>2</v>
      </c>
      <c r="C20" s="6">
        <v>25.1</v>
      </c>
      <c r="D20" s="6">
        <v>25.1</v>
      </c>
      <c r="E20" s="6">
        <v>25.1</v>
      </c>
      <c r="F20" s="6">
        <v>25.1</v>
      </c>
      <c r="G20" s="6">
        <v>25.1</v>
      </c>
      <c r="H20" s="6">
        <v>25.1</v>
      </c>
      <c r="I20" s="6">
        <v>25.1</v>
      </c>
      <c r="J20" s="6">
        <v>25.1</v>
      </c>
      <c r="K20" s="6">
        <v>25.1</v>
      </c>
      <c r="L20" s="6">
        <v>25.1</v>
      </c>
      <c r="M20" s="6">
        <v>25.1</v>
      </c>
      <c r="N20" s="6">
        <v>25.1</v>
      </c>
      <c r="O20" s="6">
        <v>25.1</v>
      </c>
      <c r="P20" s="6">
        <v>25.1</v>
      </c>
      <c r="Q20" s="6">
        <v>25.1</v>
      </c>
      <c r="R20" s="6">
        <v>25.1</v>
      </c>
      <c r="S20" s="6">
        <v>25.1</v>
      </c>
      <c r="T20" s="6">
        <v>25.1</v>
      </c>
      <c r="U20" s="6">
        <v>25.1</v>
      </c>
      <c r="V20" s="6">
        <v>25.1</v>
      </c>
      <c r="W20" s="6">
        <v>25.1</v>
      </c>
      <c r="X20" s="6">
        <v>25.1</v>
      </c>
      <c r="Y20" s="6">
        <v>25.1</v>
      </c>
      <c r="Z20" s="6">
        <v>25.1</v>
      </c>
      <c r="AA20" s="6">
        <v>25.1</v>
      </c>
      <c r="AB20" s="6">
        <v>25.1</v>
      </c>
      <c r="AC20" s="6">
        <v>25.1</v>
      </c>
      <c r="AD20" s="6">
        <v>25.1</v>
      </c>
      <c r="AE20" s="6">
        <v>25.1</v>
      </c>
      <c r="AF20" s="6">
        <v>25.1</v>
      </c>
      <c r="AG20" s="6">
        <v>25.1</v>
      </c>
      <c r="AH20" s="6">
        <v>25.1</v>
      </c>
      <c r="AI20" s="6">
        <v>25.1</v>
      </c>
      <c r="AJ20" s="6">
        <v>25.1</v>
      </c>
      <c r="AK20" s="6">
        <v>25.1</v>
      </c>
      <c r="AL20" s="6">
        <v>25.1</v>
      </c>
      <c r="AM20" s="6">
        <v>25.1</v>
      </c>
      <c r="AN20" s="6">
        <v>25.1</v>
      </c>
      <c r="AO20" s="6">
        <v>25.1</v>
      </c>
    </row>
    <row r="21" spans="1:42" x14ac:dyDescent="0.35">
      <c r="B21" s="3" t="s">
        <v>3</v>
      </c>
      <c r="C21" s="6">
        <v>28</v>
      </c>
      <c r="D21" s="6">
        <v>28</v>
      </c>
      <c r="E21" s="6">
        <v>28</v>
      </c>
      <c r="F21" s="6">
        <v>28</v>
      </c>
      <c r="G21" s="6">
        <v>28</v>
      </c>
      <c r="H21" s="6">
        <v>28</v>
      </c>
      <c r="I21" s="6">
        <v>28</v>
      </c>
      <c r="J21" s="6">
        <v>28</v>
      </c>
      <c r="K21" s="6">
        <v>28</v>
      </c>
      <c r="L21" s="6">
        <v>28</v>
      </c>
      <c r="M21" s="6">
        <v>28</v>
      </c>
      <c r="N21" s="6">
        <v>28</v>
      </c>
      <c r="O21" s="6">
        <v>28</v>
      </c>
      <c r="P21" s="6">
        <v>28</v>
      </c>
      <c r="Q21" s="6">
        <v>28</v>
      </c>
      <c r="R21" s="6">
        <v>28</v>
      </c>
      <c r="S21" s="6">
        <v>28</v>
      </c>
      <c r="T21" s="6">
        <v>28</v>
      </c>
      <c r="U21" s="6">
        <v>28</v>
      </c>
      <c r="V21" s="6">
        <v>28</v>
      </c>
      <c r="W21" s="6">
        <v>28</v>
      </c>
      <c r="X21" s="6">
        <v>28</v>
      </c>
      <c r="Y21" s="6">
        <v>28</v>
      </c>
      <c r="Z21" s="6">
        <v>28</v>
      </c>
      <c r="AA21" s="6">
        <v>28</v>
      </c>
      <c r="AB21" s="6">
        <v>28</v>
      </c>
      <c r="AC21" s="6">
        <v>28</v>
      </c>
      <c r="AD21" s="6">
        <v>28</v>
      </c>
      <c r="AE21" s="6">
        <v>28</v>
      </c>
      <c r="AF21" s="6">
        <v>28</v>
      </c>
      <c r="AG21" s="6">
        <v>28</v>
      </c>
      <c r="AH21" s="6">
        <v>28</v>
      </c>
      <c r="AI21" s="6">
        <v>28</v>
      </c>
      <c r="AJ21" s="6">
        <v>28</v>
      </c>
      <c r="AK21" s="6">
        <v>28</v>
      </c>
      <c r="AL21" s="6">
        <v>28</v>
      </c>
      <c r="AM21" s="6">
        <v>28</v>
      </c>
      <c r="AN21" s="6">
        <v>28</v>
      </c>
      <c r="AO21" s="6">
        <v>28</v>
      </c>
    </row>
    <row r="22" spans="1:42" x14ac:dyDescent="0.35">
      <c r="B22" s="3" t="s">
        <v>4</v>
      </c>
      <c r="C22" s="6">
        <v>26.92</v>
      </c>
      <c r="D22" s="6">
        <v>26.92</v>
      </c>
      <c r="E22" s="6">
        <v>26.92</v>
      </c>
      <c r="F22" s="6">
        <v>26.92</v>
      </c>
      <c r="G22" s="6">
        <v>26.92</v>
      </c>
      <c r="H22" s="6">
        <v>26.92</v>
      </c>
      <c r="I22" s="6">
        <v>26.92</v>
      </c>
      <c r="J22" s="6">
        <v>26.92</v>
      </c>
      <c r="K22" s="6">
        <v>26.92</v>
      </c>
      <c r="L22" s="6">
        <v>26.92</v>
      </c>
      <c r="M22" s="6">
        <v>26.92</v>
      </c>
      <c r="N22" s="6">
        <v>26.92</v>
      </c>
      <c r="O22" s="6">
        <v>26.92</v>
      </c>
      <c r="P22" s="6">
        <v>26.92</v>
      </c>
      <c r="Q22" s="6">
        <v>26.92</v>
      </c>
      <c r="R22" s="6">
        <v>26.92</v>
      </c>
      <c r="S22" s="6">
        <v>26.92</v>
      </c>
      <c r="T22" s="6">
        <v>26.92</v>
      </c>
      <c r="U22" s="6">
        <v>26.92</v>
      </c>
      <c r="V22" s="6">
        <v>26.92</v>
      </c>
      <c r="W22" s="6">
        <v>26.92</v>
      </c>
      <c r="X22" s="6">
        <v>26.92</v>
      </c>
      <c r="Y22" s="6">
        <v>26.92</v>
      </c>
      <c r="Z22" s="6">
        <v>26.92</v>
      </c>
      <c r="AA22" s="6">
        <v>26.92</v>
      </c>
      <c r="AB22" s="6">
        <v>26.92</v>
      </c>
      <c r="AC22" s="6">
        <v>26.92</v>
      </c>
      <c r="AD22" s="6">
        <v>26.92</v>
      </c>
      <c r="AE22" s="6">
        <v>26.92</v>
      </c>
      <c r="AF22" s="6">
        <v>26.92</v>
      </c>
      <c r="AG22" s="6">
        <v>26.92</v>
      </c>
      <c r="AH22" s="6">
        <v>26.92</v>
      </c>
      <c r="AI22" s="6">
        <v>26.92</v>
      </c>
      <c r="AJ22" s="6">
        <v>26.92</v>
      </c>
      <c r="AK22" s="6">
        <v>26.92</v>
      </c>
      <c r="AL22" s="6">
        <v>26.92</v>
      </c>
      <c r="AM22" s="6">
        <v>26.92</v>
      </c>
      <c r="AN22" s="6">
        <v>26.92</v>
      </c>
      <c r="AO22" s="6">
        <v>26.92</v>
      </c>
    </row>
    <row r="23" spans="1:42" s="9" customFormat="1" x14ac:dyDescent="0.35">
      <c r="B23" s="7" t="s">
        <v>13</v>
      </c>
      <c r="C23" s="8">
        <f>C38</f>
        <v>19</v>
      </c>
      <c r="D23" s="32">
        <v>19.2</v>
      </c>
      <c r="E23" s="8">
        <f>(C23+G23)/2</f>
        <v>19.234999999999999</v>
      </c>
      <c r="F23" s="32">
        <v>19.399999999999999</v>
      </c>
      <c r="G23" s="8">
        <f>E38</f>
        <v>19.47</v>
      </c>
      <c r="H23" s="32">
        <v>19.899999999999999</v>
      </c>
      <c r="I23" s="8">
        <f>(G23+K23)/2</f>
        <v>19.96</v>
      </c>
      <c r="J23" s="32">
        <v>20.399999999999999</v>
      </c>
      <c r="K23" s="8">
        <f>G38</f>
        <v>20.45</v>
      </c>
      <c r="L23" s="32">
        <v>21.3</v>
      </c>
      <c r="M23" s="8">
        <f>(K23+O23)/2</f>
        <v>21.344999999999999</v>
      </c>
      <c r="N23" s="32">
        <v>22.15</v>
      </c>
      <c r="O23" s="8">
        <f>I38</f>
        <v>22.24</v>
      </c>
      <c r="P23" s="32">
        <v>23</v>
      </c>
      <c r="Q23" s="8">
        <f>(O23+S23)/2</f>
        <v>23.085000000000001</v>
      </c>
      <c r="R23" s="32">
        <v>23.8</v>
      </c>
      <c r="S23" s="8">
        <f>M38</f>
        <v>23.93</v>
      </c>
      <c r="T23" s="8">
        <f>O38</f>
        <v>24.4</v>
      </c>
      <c r="U23" s="8">
        <f>Q38</f>
        <v>24.4</v>
      </c>
      <c r="V23" s="8">
        <f t="shared" ref="V23:AO23" si="0">S38</f>
        <v>24.4</v>
      </c>
      <c r="W23" s="8">
        <f t="shared" si="0"/>
        <v>24.4</v>
      </c>
      <c r="X23" s="8">
        <f t="shared" si="0"/>
        <v>24.187096774193549</v>
      </c>
      <c r="Y23" s="8">
        <f t="shared" si="0"/>
        <v>23.993548387096773</v>
      </c>
      <c r="Z23" s="8">
        <f t="shared" si="0"/>
        <v>23.8</v>
      </c>
      <c r="AA23" s="8">
        <f t="shared" si="0"/>
        <v>23.336428571428574</v>
      </c>
      <c r="AB23" s="8">
        <f t="shared" si="0"/>
        <v>22.914999999999999</v>
      </c>
      <c r="AC23" s="8">
        <f t="shared" si="0"/>
        <v>22.62</v>
      </c>
      <c r="AD23" s="8">
        <f t="shared" si="0"/>
        <v>22.11967741935484</v>
      </c>
      <c r="AE23" s="8">
        <f t="shared" si="0"/>
        <v>21.664838709677419</v>
      </c>
      <c r="AF23" s="8">
        <f t="shared" si="0"/>
        <v>21.21</v>
      </c>
      <c r="AG23" s="8">
        <f t="shared" si="0"/>
        <v>20.843333333333334</v>
      </c>
      <c r="AH23" s="8">
        <f t="shared" si="0"/>
        <v>20.51</v>
      </c>
      <c r="AI23" s="8">
        <f t="shared" si="0"/>
        <v>20.21</v>
      </c>
      <c r="AJ23" s="8">
        <f t="shared" si="0"/>
        <v>20.025483870967744</v>
      </c>
      <c r="AK23" s="8">
        <f t="shared" si="0"/>
        <v>19.857741935483872</v>
      </c>
      <c r="AL23" s="8">
        <f t="shared" si="0"/>
        <v>19.690000000000001</v>
      </c>
      <c r="AM23" s="8">
        <f t="shared" si="0"/>
        <v>19.437000000000001</v>
      </c>
      <c r="AN23" s="8">
        <f t="shared" si="0"/>
        <v>19.207000000000001</v>
      </c>
      <c r="AO23" s="8">
        <f t="shared" si="0"/>
        <v>19</v>
      </c>
    </row>
    <row r="24" spans="1:42" s="9" customFormat="1" x14ac:dyDescent="0.35">
      <c r="A24" s="9">
        <v>1</v>
      </c>
      <c r="B24" s="7" t="s">
        <v>14</v>
      </c>
      <c r="C24" s="8">
        <f>C39</f>
        <v>17</v>
      </c>
      <c r="D24" s="32">
        <v>17.100000000000001</v>
      </c>
      <c r="E24" s="8">
        <f>(C24+G24)/2</f>
        <v>17.164999999999999</v>
      </c>
      <c r="F24" s="32">
        <v>17.25</v>
      </c>
      <c r="G24" s="8">
        <f>E39</f>
        <v>17.329999999999998</v>
      </c>
      <c r="H24" s="32">
        <v>17.600000000000001</v>
      </c>
      <c r="I24" s="8">
        <f>(G24+K24)/2</f>
        <v>17.564999999999998</v>
      </c>
      <c r="J24" s="32">
        <v>17.7</v>
      </c>
      <c r="K24" s="8">
        <f>G39</f>
        <v>17.8</v>
      </c>
      <c r="L24" s="32">
        <v>18.600000000000001</v>
      </c>
      <c r="M24" s="8">
        <f>(K24+O24)/2</f>
        <v>18.68</v>
      </c>
      <c r="N24" s="32">
        <v>19.5</v>
      </c>
      <c r="O24" s="8">
        <f>I39</f>
        <v>19.559999999999999</v>
      </c>
      <c r="P24" s="32">
        <v>20.25</v>
      </c>
      <c r="Q24" s="8">
        <f>(O24+S24)/2</f>
        <v>20.38</v>
      </c>
      <c r="R24" s="32">
        <v>21.1</v>
      </c>
      <c r="S24" s="8">
        <f>M39</f>
        <v>21.2</v>
      </c>
      <c r="T24" s="24">
        <v>21.67</v>
      </c>
      <c r="U24" s="24">
        <v>21.6</v>
      </c>
      <c r="V24" s="24">
        <v>21.55</v>
      </c>
      <c r="W24" s="24">
        <v>21.5</v>
      </c>
      <c r="X24" s="24">
        <v>21.21</v>
      </c>
      <c r="Y24" s="24">
        <v>21.03</v>
      </c>
      <c r="Z24" s="24">
        <v>20.81</v>
      </c>
      <c r="AA24" s="24">
        <v>20.51</v>
      </c>
      <c r="AB24" s="24">
        <v>20.21</v>
      </c>
      <c r="AC24" s="24">
        <v>19.97</v>
      </c>
      <c r="AD24" s="24">
        <v>19.46</v>
      </c>
      <c r="AE24" s="24">
        <v>19.03</v>
      </c>
      <c r="AF24" s="24">
        <v>18.59</v>
      </c>
      <c r="AG24" s="24">
        <v>18.28</v>
      </c>
      <c r="AH24" s="24">
        <v>17.98</v>
      </c>
      <c r="AI24" s="24">
        <v>17.7</v>
      </c>
      <c r="AJ24" s="24">
        <v>17.48</v>
      </c>
      <c r="AK24" s="24">
        <v>17.45</v>
      </c>
      <c r="AL24" s="24">
        <v>17.399999999999999</v>
      </c>
      <c r="AM24" s="24">
        <v>17.38</v>
      </c>
      <c r="AN24" s="24">
        <v>17.350000000000001</v>
      </c>
      <c r="AO24" s="24">
        <v>17</v>
      </c>
      <c r="AP24" s="9" t="s">
        <v>41</v>
      </c>
    </row>
    <row r="25" spans="1:42" x14ac:dyDescent="0.35">
      <c r="B25" s="3" t="s">
        <v>18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>
        <v>24.4</v>
      </c>
      <c r="U25" s="6">
        <v>24.24</v>
      </c>
      <c r="V25" s="6">
        <v>24.09</v>
      </c>
      <c r="W25" s="6">
        <v>23.93</v>
      </c>
      <c r="X25" s="6">
        <v>23.62</v>
      </c>
      <c r="Y25" s="6">
        <v>23.3</v>
      </c>
      <c r="Z25" s="6">
        <v>22.99</v>
      </c>
      <c r="AA25" s="6">
        <v>22.64</v>
      </c>
      <c r="AB25" s="6">
        <v>22.28</v>
      </c>
      <c r="AC25" s="6">
        <v>21.93</v>
      </c>
      <c r="AD25" s="6">
        <v>21.55</v>
      </c>
      <c r="AE25" s="6">
        <v>21.26</v>
      </c>
      <c r="AF25" s="6">
        <v>20.78</v>
      </c>
      <c r="AG25" s="6">
        <v>20.51</v>
      </c>
      <c r="AH25" s="6">
        <v>20.23</v>
      </c>
      <c r="AI25" s="6">
        <v>19.96</v>
      </c>
      <c r="AJ25" s="6">
        <v>19.78</v>
      </c>
      <c r="AK25" s="6">
        <v>19.61</v>
      </c>
      <c r="AL25" s="6">
        <v>19.43</v>
      </c>
      <c r="AM25" s="6">
        <v>19.22</v>
      </c>
      <c r="AN25" s="6">
        <v>19</v>
      </c>
      <c r="AO25" s="6">
        <v>19</v>
      </c>
    </row>
    <row r="26" spans="1:42" x14ac:dyDescent="0.35">
      <c r="B26" s="3" t="s">
        <v>19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24">
        <v>21.67</v>
      </c>
      <c r="U26" s="24">
        <v>21.6</v>
      </c>
      <c r="V26" s="24">
        <v>21.55</v>
      </c>
      <c r="W26" s="24">
        <v>21.5</v>
      </c>
      <c r="X26" s="24">
        <v>21.21</v>
      </c>
      <c r="Y26" s="24">
        <v>21.03</v>
      </c>
      <c r="Z26" s="24">
        <v>20.81</v>
      </c>
      <c r="AA26" s="24">
        <v>20.51</v>
      </c>
      <c r="AB26" s="24">
        <v>20.21</v>
      </c>
      <c r="AC26" s="24">
        <v>19.97</v>
      </c>
      <c r="AD26" s="24">
        <v>19.46</v>
      </c>
      <c r="AE26" s="24">
        <v>19.03</v>
      </c>
      <c r="AF26" s="24">
        <v>18.59</v>
      </c>
      <c r="AG26" s="24">
        <v>18.28</v>
      </c>
      <c r="AH26" s="24">
        <v>17.98</v>
      </c>
      <c r="AI26" s="24">
        <v>17.7</v>
      </c>
      <c r="AJ26" s="24">
        <v>17.48</v>
      </c>
      <c r="AK26" s="24">
        <v>17.45</v>
      </c>
      <c r="AL26" s="24">
        <v>17.399999999999999</v>
      </c>
      <c r="AM26" s="24">
        <v>17.38</v>
      </c>
      <c r="AN26" s="24">
        <v>17.350000000000001</v>
      </c>
      <c r="AO26" s="24">
        <v>17</v>
      </c>
    </row>
    <row r="27" spans="1:42" x14ac:dyDescent="0.35">
      <c r="B27" s="3"/>
      <c r="C27" s="27">
        <v>41456</v>
      </c>
      <c r="D27" s="27">
        <v>41470</v>
      </c>
      <c r="E27" s="27">
        <v>41471</v>
      </c>
      <c r="F27" s="27">
        <v>41486</v>
      </c>
      <c r="G27" s="27">
        <v>41487</v>
      </c>
      <c r="H27" s="27">
        <v>41501</v>
      </c>
      <c r="I27" s="27">
        <v>41502</v>
      </c>
      <c r="J27" s="27">
        <v>41517</v>
      </c>
      <c r="K27" s="27">
        <v>41518</v>
      </c>
      <c r="L27" s="27">
        <v>41532</v>
      </c>
      <c r="M27" s="27">
        <v>41533</v>
      </c>
      <c r="N27" s="27">
        <v>41547</v>
      </c>
      <c r="O27" s="27">
        <v>41548</v>
      </c>
      <c r="P27" s="27">
        <v>41562</v>
      </c>
      <c r="Q27" s="27">
        <v>41563</v>
      </c>
      <c r="R27" s="27">
        <v>41578</v>
      </c>
      <c r="S27" s="27">
        <v>41579</v>
      </c>
      <c r="T27" s="27">
        <v>41609</v>
      </c>
      <c r="U27" s="4"/>
      <c r="V27" s="4"/>
      <c r="W27" s="4"/>
      <c r="X27" s="4"/>
      <c r="Y27" s="4"/>
      <c r="Z27" s="4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spans="1:42" x14ac:dyDescent="0.35">
      <c r="B28" s="3" t="s">
        <v>20</v>
      </c>
      <c r="C28" s="34">
        <v>20.3</v>
      </c>
      <c r="D28" s="34">
        <v>20.3</v>
      </c>
      <c r="E28" s="34">
        <v>21.2</v>
      </c>
      <c r="F28" s="34">
        <v>21.2</v>
      </c>
      <c r="G28" s="34">
        <v>22.1</v>
      </c>
      <c r="H28" s="34">
        <v>22.1</v>
      </c>
      <c r="I28" s="34">
        <v>22.7</v>
      </c>
      <c r="J28" s="34">
        <v>22.7</v>
      </c>
      <c r="K28" s="34">
        <v>23.3</v>
      </c>
      <c r="L28" s="34">
        <v>23.3</v>
      </c>
      <c r="M28" s="34">
        <v>23.65</v>
      </c>
      <c r="N28" s="34">
        <v>23.65</v>
      </c>
      <c r="O28" s="34">
        <v>24</v>
      </c>
      <c r="P28" s="34">
        <v>24</v>
      </c>
      <c r="Q28" s="34">
        <v>24.4</v>
      </c>
      <c r="R28" s="34">
        <v>24.4</v>
      </c>
      <c r="S28" s="34">
        <v>24.4</v>
      </c>
      <c r="T28" s="34">
        <v>24.4</v>
      </c>
    </row>
    <row r="29" spans="1:42" x14ac:dyDescent="0.35">
      <c r="B29" s="11" t="s">
        <v>23</v>
      </c>
      <c r="C29" s="4">
        <v>41456</v>
      </c>
      <c r="D29" s="4"/>
      <c r="E29" s="4">
        <v>41471</v>
      </c>
      <c r="F29" s="4"/>
      <c r="G29" s="4">
        <v>41487</v>
      </c>
      <c r="H29" s="4"/>
      <c r="I29" s="4">
        <v>41502</v>
      </c>
      <c r="J29" s="4"/>
      <c r="K29" s="4">
        <v>41518</v>
      </c>
      <c r="L29" s="4"/>
      <c r="M29" s="4">
        <v>41533</v>
      </c>
      <c r="N29" s="4"/>
      <c r="O29" s="4">
        <v>41548</v>
      </c>
      <c r="P29" s="4"/>
      <c r="Q29" s="4">
        <v>41563</v>
      </c>
      <c r="R29" s="4"/>
      <c r="S29" s="4">
        <v>41579</v>
      </c>
      <c r="T29" s="4">
        <v>41609</v>
      </c>
      <c r="V29" s="4">
        <v>41629</v>
      </c>
      <c r="W29" s="4">
        <v>41640</v>
      </c>
      <c r="X29" s="4">
        <v>41671</v>
      </c>
      <c r="Y29" s="4">
        <v>41699</v>
      </c>
      <c r="Z29" s="4">
        <v>41730</v>
      </c>
      <c r="AA29" s="4">
        <v>41760</v>
      </c>
      <c r="AB29" s="4">
        <v>41791</v>
      </c>
      <c r="AC29" s="4">
        <v>41820</v>
      </c>
    </row>
    <row r="30" spans="1:42" x14ac:dyDescent="0.35">
      <c r="B30" s="12" t="s">
        <v>13</v>
      </c>
      <c r="C30" s="6">
        <v>17</v>
      </c>
      <c r="D30" s="6"/>
      <c r="E30" s="6">
        <v>17.186386028892755</v>
      </c>
      <c r="F30" s="6"/>
      <c r="G30" s="6">
        <v>17.372772057785514</v>
      </c>
      <c r="H30" s="6"/>
      <c r="I30" s="6">
        <v>18.478211729765917</v>
      </c>
      <c r="J30" s="6"/>
      <c r="K30" s="6">
        <v>19.583651401746316</v>
      </c>
      <c r="L30" s="6"/>
      <c r="M30" s="6">
        <v>20.934804155714801</v>
      </c>
      <c r="N30" s="6"/>
      <c r="O30" s="6">
        <v>22.285956909683282</v>
      </c>
      <c r="P30" s="6"/>
      <c r="Q30" s="6">
        <v>23.738706091549833</v>
      </c>
      <c r="R30" s="6"/>
      <c r="S30" s="6">
        <v>24.222955818838685</v>
      </c>
      <c r="T30" s="6">
        <v>24.4</v>
      </c>
      <c r="V30" s="6">
        <v>24.319550105515923</v>
      </c>
      <c r="W30" s="6">
        <v>24.239100211031843</v>
      </c>
      <c r="X30" s="6">
        <v>23.134329306975559</v>
      </c>
      <c r="Y30" s="6">
        <v>21.582045572858227</v>
      </c>
      <c r="Z30" s="6">
        <v>18.968949707249561</v>
      </c>
      <c r="AA30" s="6">
        <v>17.669967243144374</v>
      </c>
      <c r="AB30" s="6">
        <v>17.62552631024851</v>
      </c>
      <c r="AC30" s="6">
        <v>17</v>
      </c>
    </row>
    <row r="31" spans="1:42" x14ac:dyDescent="0.35">
      <c r="B31" s="12" t="s">
        <v>14</v>
      </c>
      <c r="C31" s="6">
        <v>17</v>
      </c>
      <c r="D31" s="6"/>
      <c r="E31" s="6">
        <v>17</v>
      </c>
      <c r="F31" s="6"/>
      <c r="G31" s="6">
        <v>17</v>
      </c>
      <c r="H31" s="6"/>
      <c r="I31" s="6">
        <v>17.411280629233431</v>
      </c>
      <c r="J31" s="6"/>
      <c r="K31" s="6">
        <v>17.822561258466866</v>
      </c>
      <c r="L31" s="6"/>
      <c r="M31" s="6">
        <v>18.946832344979228</v>
      </c>
      <c r="N31" s="6"/>
      <c r="O31" s="6">
        <v>20.071103431491586</v>
      </c>
      <c r="P31" s="6"/>
      <c r="Q31" s="6">
        <v>21.41591301719302</v>
      </c>
      <c r="R31" s="6"/>
      <c r="S31" s="6">
        <v>21.864182879093502</v>
      </c>
      <c r="T31" s="6">
        <v>24.031931239545596</v>
      </c>
      <c r="V31" s="6">
        <v>23.613106143765989</v>
      </c>
      <c r="W31" s="6">
        <v>23.194281047986387</v>
      </c>
      <c r="X31" s="6">
        <v>21.966008647123115</v>
      </c>
      <c r="Y31" s="6">
        <v>20.207620102652839</v>
      </c>
      <c r="Z31" s="6">
        <v>17.228229185207191</v>
      </c>
      <c r="AA31" s="6">
        <v>17</v>
      </c>
      <c r="AB31" s="6">
        <v>17</v>
      </c>
      <c r="AC31" s="6">
        <v>17</v>
      </c>
    </row>
    <row r="33" spans="2:38" ht="13.9" x14ac:dyDescent="0.35">
      <c r="B33" s="11" t="s">
        <v>40</v>
      </c>
      <c r="C33" s="4">
        <v>41456</v>
      </c>
      <c r="D33" s="4"/>
      <c r="E33" s="4">
        <v>41470</v>
      </c>
      <c r="F33" s="4"/>
      <c r="G33" s="4">
        <v>41487</v>
      </c>
      <c r="H33" s="4"/>
      <c r="I33" s="4">
        <v>41501</v>
      </c>
      <c r="J33" s="4"/>
      <c r="K33" s="4">
        <v>41518</v>
      </c>
      <c r="L33" s="4"/>
      <c r="M33" s="4">
        <v>41532</v>
      </c>
      <c r="N33" s="4"/>
      <c r="O33" s="4">
        <v>41548</v>
      </c>
      <c r="P33" s="4"/>
      <c r="Q33" s="4">
        <v>41566</v>
      </c>
      <c r="R33" s="4"/>
      <c r="S33" s="4">
        <v>41579</v>
      </c>
      <c r="T33" s="4">
        <v>41609</v>
      </c>
      <c r="V33" s="4">
        <v>41629</v>
      </c>
      <c r="W33" s="4">
        <v>41640</v>
      </c>
      <c r="X33" s="4">
        <v>41671</v>
      </c>
      <c r="Y33" s="4">
        <v>41699</v>
      </c>
      <c r="Z33" s="4">
        <v>41730</v>
      </c>
      <c r="AA33" s="4">
        <v>41760</v>
      </c>
      <c r="AB33" s="4">
        <v>41791</v>
      </c>
      <c r="AC33" s="4">
        <v>41820</v>
      </c>
    </row>
    <row r="34" spans="2:38" x14ac:dyDescent="0.35">
      <c r="B34" s="12" t="s">
        <v>13</v>
      </c>
      <c r="C34" s="6">
        <v>17</v>
      </c>
      <c r="D34" s="6"/>
      <c r="E34" s="6">
        <v>17.201082189026565</v>
      </c>
      <c r="F34" s="6"/>
      <c r="G34" s="6">
        <v>17.402164378053126</v>
      </c>
      <c r="H34" s="6"/>
      <c r="I34" s="6">
        <v>18.51436727263734</v>
      </c>
      <c r="J34" s="6"/>
      <c r="K34" s="6">
        <v>19.626570167221555</v>
      </c>
      <c r="L34" s="6"/>
      <c r="M34" s="6">
        <v>20.982259425945998</v>
      </c>
      <c r="N34" s="6"/>
      <c r="O34" s="6">
        <v>22.33794868467044</v>
      </c>
      <c r="P34" s="6"/>
      <c r="Q34" s="6">
        <v>23.807261637516774</v>
      </c>
      <c r="R34" s="6"/>
      <c r="S34" s="6">
        <v>24.297032621798884</v>
      </c>
      <c r="T34" s="6">
        <v>24.4</v>
      </c>
      <c r="V34" s="6">
        <v>24.189721552781862</v>
      </c>
      <c r="W34" s="6">
        <v>23.979443105563721</v>
      </c>
      <c r="X34" s="6">
        <v>22.962367220684765</v>
      </c>
      <c r="Y34" s="6">
        <v>21.533086384457608</v>
      </c>
      <c r="Z34" s="6">
        <v>18.92508672332448</v>
      </c>
      <c r="AA34" s="6">
        <v>17.636563828216854</v>
      </c>
      <c r="AB34" s="6">
        <v>17.609131754588155</v>
      </c>
      <c r="AC34" s="6">
        <v>17</v>
      </c>
    </row>
    <row r="35" spans="2:38" x14ac:dyDescent="0.35">
      <c r="B35" s="12" t="s">
        <v>14</v>
      </c>
      <c r="C35" s="6">
        <v>17</v>
      </c>
      <c r="D35" s="6"/>
      <c r="E35" s="6">
        <v>17</v>
      </c>
      <c r="F35" s="6"/>
      <c r="G35" s="6">
        <v>17</v>
      </c>
      <c r="H35" s="6"/>
      <c r="I35" s="6">
        <v>17.423703193068206</v>
      </c>
      <c r="J35" s="6"/>
      <c r="K35" s="6">
        <v>17.847406386136409</v>
      </c>
      <c r="L35" s="6"/>
      <c r="M35" s="6">
        <v>18.990036916218244</v>
      </c>
      <c r="N35" s="6"/>
      <c r="O35" s="6">
        <v>20.132667446300083</v>
      </c>
      <c r="P35" s="6"/>
      <c r="Q35" s="6">
        <v>21.497961582667237</v>
      </c>
      <c r="R35" s="6"/>
      <c r="S35" s="6">
        <v>21.953059628122954</v>
      </c>
      <c r="T35" s="6">
        <v>23.677096772352371</v>
      </c>
      <c r="V35" s="6">
        <v>23.284228845498916</v>
      </c>
      <c r="W35" s="6">
        <v>22.891360918645461</v>
      </c>
      <c r="X35" s="6">
        <v>21.743236714538021</v>
      </c>
      <c r="Y35" s="6">
        <v>20.172560979691792</v>
      </c>
      <c r="Z35" s="6">
        <v>17.189237070485728</v>
      </c>
      <c r="AA35" s="6">
        <v>17</v>
      </c>
      <c r="AB35" s="6">
        <v>17</v>
      </c>
      <c r="AC35" s="6">
        <v>17</v>
      </c>
    </row>
    <row r="37" spans="2:38" x14ac:dyDescent="0.35">
      <c r="C37" s="4">
        <v>41456</v>
      </c>
      <c r="D37" s="4"/>
      <c r="E37" s="4">
        <v>41487</v>
      </c>
      <c r="F37" s="4"/>
      <c r="G37" s="4">
        <v>41518</v>
      </c>
      <c r="H37" s="4"/>
      <c r="I37" s="4">
        <v>41548</v>
      </c>
      <c r="J37" s="4"/>
      <c r="K37" s="4">
        <v>41563</v>
      </c>
      <c r="L37" s="4"/>
      <c r="M37" s="4">
        <v>41579</v>
      </c>
      <c r="N37" s="4"/>
      <c r="O37" s="4">
        <v>41609</v>
      </c>
      <c r="P37" s="4"/>
      <c r="Q37" s="4">
        <v>41619</v>
      </c>
      <c r="R37" s="4"/>
      <c r="S37" s="4">
        <v>41629</v>
      </c>
      <c r="T37" s="4">
        <v>41640</v>
      </c>
      <c r="U37" s="4">
        <v>41650</v>
      </c>
      <c r="V37" s="4">
        <v>41660</v>
      </c>
      <c r="W37" s="4">
        <v>41671</v>
      </c>
      <c r="X37" s="4">
        <v>41681</v>
      </c>
      <c r="Y37" s="4">
        <v>41691</v>
      </c>
      <c r="Z37" s="4">
        <v>41699</v>
      </c>
      <c r="AA37" s="4">
        <v>41709</v>
      </c>
      <c r="AB37" s="4">
        <v>41719</v>
      </c>
      <c r="AC37" s="4">
        <v>41730</v>
      </c>
      <c r="AD37" s="4">
        <v>41740</v>
      </c>
      <c r="AE37" s="4">
        <v>41750</v>
      </c>
      <c r="AF37" s="4">
        <v>41760</v>
      </c>
      <c r="AG37" s="4">
        <v>41770</v>
      </c>
      <c r="AH37" s="4">
        <v>41780</v>
      </c>
      <c r="AI37" s="4">
        <v>41791</v>
      </c>
      <c r="AJ37" s="4">
        <v>41801</v>
      </c>
      <c r="AK37" s="4">
        <v>41811</v>
      </c>
      <c r="AL37" s="4">
        <v>41821</v>
      </c>
    </row>
    <row r="38" spans="2:38" x14ac:dyDescent="0.35">
      <c r="B38" s="13" t="s">
        <v>24</v>
      </c>
      <c r="C38" s="14">
        <v>19</v>
      </c>
      <c r="D38" s="14"/>
      <c r="E38" s="14">
        <v>19.47</v>
      </c>
      <c r="F38" s="14"/>
      <c r="G38" s="14">
        <v>20.45</v>
      </c>
      <c r="H38" s="14"/>
      <c r="I38" s="14">
        <v>22.24</v>
      </c>
      <c r="J38" s="14"/>
      <c r="K38" s="14">
        <v>23.3</v>
      </c>
      <c r="L38" s="14"/>
      <c r="M38" s="14">
        <v>23.93</v>
      </c>
      <c r="N38" s="14"/>
      <c r="O38" s="14">
        <v>24.4</v>
      </c>
      <c r="P38" s="14"/>
      <c r="Q38" s="14">
        <f>O38+11*(T38-O38)/31</f>
        <v>24.4</v>
      </c>
      <c r="R38" s="14"/>
      <c r="S38" s="14">
        <f>O38+21*(T38-O38)/31</f>
        <v>24.4</v>
      </c>
      <c r="T38" s="14">
        <v>24.4</v>
      </c>
      <c r="U38" s="14">
        <f>T38+11*(W38-T38)/31</f>
        <v>24.187096774193549</v>
      </c>
      <c r="V38" s="14">
        <f>T38+21*(W38-T38)/31</f>
        <v>23.993548387096773</v>
      </c>
      <c r="W38" s="14">
        <v>23.8</v>
      </c>
      <c r="X38" s="14">
        <f>W38+11*(Z38-W38)/28</f>
        <v>23.336428571428574</v>
      </c>
      <c r="Y38" s="14">
        <f>W38+21*(Z38-W38)/28</f>
        <v>22.914999999999999</v>
      </c>
      <c r="Z38" s="14">
        <v>22.62</v>
      </c>
      <c r="AA38" s="14">
        <f>Z38+11*(AC38-Z38)/31</f>
        <v>22.11967741935484</v>
      </c>
      <c r="AB38" s="14">
        <f>Z38+21*(AC38-Z38)/31</f>
        <v>21.664838709677419</v>
      </c>
      <c r="AC38" s="14">
        <v>21.21</v>
      </c>
      <c r="AD38" s="14">
        <f>AC38+11*(AF38-AC38)/30</f>
        <v>20.843333333333334</v>
      </c>
      <c r="AE38" s="14">
        <f>AC38+21*(AF38-AC38)/30</f>
        <v>20.51</v>
      </c>
      <c r="AF38" s="14">
        <v>20.21</v>
      </c>
      <c r="AG38" s="14">
        <f>AF38+11*(AI38-AF38)/31</f>
        <v>20.025483870967744</v>
      </c>
      <c r="AH38" s="14">
        <f>AF38+21*(AI38-AF38)/31</f>
        <v>19.857741935483872</v>
      </c>
      <c r="AI38" s="14">
        <v>19.690000000000001</v>
      </c>
      <c r="AJ38" s="14">
        <f>AI38+11*(AL38-AI38)/30</f>
        <v>19.437000000000001</v>
      </c>
      <c r="AK38" s="14">
        <f>AI38+21*(AL38-AI38)/30</f>
        <v>19.207000000000001</v>
      </c>
      <c r="AL38" s="14">
        <v>19</v>
      </c>
    </row>
    <row r="39" spans="2:38" x14ac:dyDescent="0.35">
      <c r="B39" s="16" t="s">
        <v>25</v>
      </c>
      <c r="C39" s="17">
        <v>17</v>
      </c>
      <c r="D39" s="17"/>
      <c r="E39" s="17">
        <v>17.329999999999998</v>
      </c>
      <c r="F39" s="17"/>
      <c r="G39" s="17">
        <v>17.8</v>
      </c>
      <c r="H39" s="17"/>
      <c r="I39" s="17">
        <v>19.559999999999999</v>
      </c>
      <c r="J39" s="17"/>
      <c r="K39" s="17">
        <v>20.38</v>
      </c>
      <c r="L39" s="17"/>
      <c r="M39" s="17">
        <v>21.2</v>
      </c>
      <c r="N39" s="17"/>
      <c r="O39" s="17">
        <v>22.14</v>
      </c>
      <c r="P39" s="17"/>
      <c r="Q39" s="17">
        <f>O39+11*(T39-O39)/31</f>
        <v>22.154193548387099</v>
      </c>
      <c r="R39" s="17"/>
      <c r="S39" s="17">
        <f>O39+21*(T39-O39)/31</f>
        <v>22.167096774193549</v>
      </c>
      <c r="T39" s="17">
        <v>22.18</v>
      </c>
      <c r="U39" s="17">
        <f>T39+11*(W39-T39)/31</f>
        <v>21.871290322580645</v>
      </c>
      <c r="V39" s="17">
        <f>T39+21*(W39-T39)/31</f>
        <v>21.590645161290322</v>
      </c>
      <c r="W39" s="17">
        <v>21.31</v>
      </c>
      <c r="X39" s="17">
        <f>W39+11*(Z39-W39)/28</f>
        <v>20.842500000000001</v>
      </c>
      <c r="Y39" s="17">
        <f>W39+21*(Z39-W39)/28</f>
        <v>20.4175</v>
      </c>
      <c r="Z39" s="17">
        <v>20.12</v>
      </c>
      <c r="AA39" s="17">
        <f>Z39+11*(AC39-Z39)/31</f>
        <v>19.566451612903226</v>
      </c>
      <c r="AB39" s="17">
        <f>Z39+21*(AC39-Z39)/31</f>
        <v>19.063225806451612</v>
      </c>
      <c r="AC39" s="17">
        <v>18.559999999999999</v>
      </c>
      <c r="AD39" s="17">
        <f>AC39+11*(AF39-AC39)/30</f>
        <v>18.186</v>
      </c>
      <c r="AE39" s="17">
        <f>AC39+21*(AF39-AC39)/30</f>
        <v>17.846</v>
      </c>
      <c r="AF39" s="17">
        <v>17.54</v>
      </c>
      <c r="AG39" s="17">
        <f>AF39+11*(AI39-AF39)/31</f>
        <v>17.401612903225807</v>
      </c>
      <c r="AH39" s="17">
        <f>AF39+21*(AI39-AF39)/31</f>
        <v>17.275806451612901</v>
      </c>
      <c r="AI39" s="17">
        <v>17.149999999999999</v>
      </c>
      <c r="AJ39" s="17">
        <f>AI39+11*(AL39-AI39)/30</f>
        <v>17.094999999999999</v>
      </c>
      <c r="AK39" s="17">
        <f>AI39+21*(AL39-AI39)/30</f>
        <v>17.044999999999998</v>
      </c>
      <c r="AL39" s="17">
        <v>17</v>
      </c>
    </row>
    <row r="42" spans="2:38" ht="60" customHeight="1" x14ac:dyDescent="0.35">
      <c r="B42" s="35" t="s">
        <v>29</v>
      </c>
      <c r="C42" s="36" t="s">
        <v>26</v>
      </c>
      <c r="D42" s="37"/>
      <c r="E42" s="36" t="s">
        <v>27</v>
      </c>
      <c r="F42" s="37"/>
      <c r="G42" s="36" t="s">
        <v>28</v>
      </c>
      <c r="H42" s="37"/>
      <c r="J42" s="33"/>
      <c r="N42" s="28"/>
    </row>
    <row r="43" spans="2:38" x14ac:dyDescent="0.35">
      <c r="B43" s="35"/>
      <c r="C43" s="20" t="s">
        <v>21</v>
      </c>
      <c r="D43" s="20" t="s">
        <v>22</v>
      </c>
      <c r="E43" s="20" t="s">
        <v>21</v>
      </c>
      <c r="F43" s="20" t="s">
        <v>22</v>
      </c>
      <c r="G43" s="20" t="s">
        <v>21</v>
      </c>
      <c r="H43" s="20" t="s">
        <v>22</v>
      </c>
    </row>
    <row r="44" spans="2:38" x14ac:dyDescent="0.35">
      <c r="B44" s="21">
        <v>41456</v>
      </c>
      <c r="C44" s="22">
        <v>19</v>
      </c>
      <c r="D44" s="22">
        <v>17</v>
      </c>
      <c r="E44" s="22"/>
      <c r="F44" s="20"/>
      <c r="G44" s="20"/>
      <c r="H44" s="20"/>
      <c r="K44" s="6"/>
      <c r="L44" s="6"/>
      <c r="M44" s="6"/>
      <c r="N44" s="6"/>
      <c r="S44" s="8"/>
      <c r="T44" s="24"/>
    </row>
    <row r="45" spans="2:38" x14ac:dyDescent="0.35">
      <c r="B45" s="21">
        <v>41470</v>
      </c>
      <c r="C45" s="22">
        <v>19.2</v>
      </c>
      <c r="D45" s="22">
        <v>17.100000000000001</v>
      </c>
      <c r="E45" s="22"/>
      <c r="F45" s="20"/>
      <c r="G45" s="20"/>
      <c r="H45" s="20"/>
      <c r="K45" s="6"/>
      <c r="L45" s="6"/>
      <c r="M45" s="6"/>
      <c r="N45" s="6"/>
      <c r="S45" s="8"/>
      <c r="T45" s="24"/>
    </row>
    <row r="46" spans="2:38" x14ac:dyDescent="0.35">
      <c r="B46" s="21">
        <v>41471</v>
      </c>
      <c r="C46" s="22">
        <v>19.234999999999999</v>
      </c>
      <c r="D46" s="22">
        <v>17.164999999999999</v>
      </c>
      <c r="E46" s="22"/>
      <c r="F46" s="20"/>
      <c r="G46" s="20"/>
      <c r="H46" s="20"/>
      <c r="K46" s="6"/>
      <c r="L46" s="6"/>
      <c r="M46" s="6"/>
      <c r="N46" s="6"/>
    </row>
    <row r="47" spans="2:38" x14ac:dyDescent="0.35">
      <c r="B47" s="21">
        <v>41486</v>
      </c>
      <c r="C47" s="22">
        <v>19.399999999999999</v>
      </c>
      <c r="D47" s="22">
        <v>17.25</v>
      </c>
      <c r="E47" s="22"/>
      <c r="F47" s="20"/>
      <c r="G47" s="20"/>
      <c r="H47" s="20"/>
      <c r="K47" s="6"/>
      <c r="L47" s="6"/>
      <c r="M47" s="6"/>
      <c r="N47" s="6"/>
    </row>
    <row r="48" spans="2:38" x14ac:dyDescent="0.35">
      <c r="B48" s="21">
        <v>41487</v>
      </c>
      <c r="C48" s="22">
        <v>19.47</v>
      </c>
      <c r="D48" s="22">
        <v>17.329999999999998</v>
      </c>
      <c r="E48" s="22"/>
      <c r="F48" s="20"/>
      <c r="G48" s="20"/>
      <c r="H48" s="20"/>
      <c r="K48" s="6"/>
      <c r="L48" s="6"/>
      <c r="M48" s="6"/>
      <c r="N48" s="6"/>
    </row>
    <row r="49" spans="2:14" x14ac:dyDescent="0.35">
      <c r="B49" s="21">
        <v>41501</v>
      </c>
      <c r="C49" s="22">
        <v>19.899999999999999</v>
      </c>
      <c r="D49" s="22">
        <v>17.600000000000001</v>
      </c>
      <c r="E49" s="22"/>
      <c r="F49" s="20"/>
      <c r="G49" s="20"/>
      <c r="H49" s="20"/>
      <c r="K49" s="6"/>
      <c r="L49" s="6"/>
      <c r="M49" s="6"/>
      <c r="N49" s="6"/>
    </row>
    <row r="50" spans="2:14" x14ac:dyDescent="0.35">
      <c r="B50" s="21">
        <v>41502</v>
      </c>
      <c r="C50" s="22">
        <v>19.96</v>
      </c>
      <c r="D50" s="22">
        <v>17.565000000000001</v>
      </c>
      <c r="E50" s="22"/>
      <c r="F50" s="20"/>
      <c r="G50" s="20"/>
      <c r="H50" s="20"/>
      <c r="K50" s="6"/>
      <c r="L50" s="6"/>
      <c r="M50" s="6"/>
      <c r="N50" s="6"/>
    </row>
    <row r="51" spans="2:14" x14ac:dyDescent="0.35">
      <c r="B51" s="21">
        <v>41517</v>
      </c>
      <c r="C51" s="22">
        <v>20.399999999999999</v>
      </c>
      <c r="D51" s="22">
        <v>17.7</v>
      </c>
      <c r="E51" s="22"/>
      <c r="F51" s="20"/>
      <c r="G51" s="20"/>
      <c r="H51" s="20"/>
      <c r="K51" s="6"/>
      <c r="L51" s="6"/>
      <c r="M51" s="6"/>
      <c r="N51" s="6"/>
    </row>
    <row r="52" spans="2:14" x14ac:dyDescent="0.35">
      <c r="B52" s="21">
        <v>41518</v>
      </c>
      <c r="C52" s="22">
        <v>20.45</v>
      </c>
      <c r="D52" s="22">
        <v>17.8</v>
      </c>
      <c r="E52" s="22"/>
      <c r="F52" s="20"/>
      <c r="G52" s="20"/>
      <c r="H52" s="20"/>
      <c r="K52" s="6"/>
      <c r="L52" s="6"/>
      <c r="M52" s="6"/>
      <c r="N52" s="6"/>
    </row>
    <row r="53" spans="2:14" x14ac:dyDescent="0.35">
      <c r="B53" s="21">
        <v>41532</v>
      </c>
      <c r="C53" s="22">
        <v>21.3</v>
      </c>
      <c r="D53" s="22">
        <v>18.600000000000001</v>
      </c>
      <c r="E53" s="22"/>
      <c r="F53" s="20"/>
      <c r="G53" s="20"/>
      <c r="H53" s="20"/>
      <c r="K53" s="6"/>
      <c r="L53" s="6"/>
      <c r="M53" s="6"/>
      <c r="N53" s="6"/>
    </row>
    <row r="54" spans="2:14" x14ac:dyDescent="0.35">
      <c r="B54" s="21">
        <v>41533</v>
      </c>
      <c r="C54" s="22">
        <v>21.344999999999999</v>
      </c>
      <c r="D54" s="22">
        <v>18.68</v>
      </c>
      <c r="E54" s="22"/>
      <c r="F54" s="20"/>
      <c r="G54" s="20"/>
      <c r="H54" s="20"/>
      <c r="K54" s="6"/>
      <c r="L54" s="6"/>
      <c r="M54" s="6"/>
      <c r="N54" s="6"/>
    </row>
    <row r="55" spans="2:14" x14ac:dyDescent="0.35">
      <c r="B55" s="21">
        <v>41547</v>
      </c>
      <c r="C55" s="22">
        <v>22.15</v>
      </c>
      <c r="D55" s="22">
        <v>19.5</v>
      </c>
      <c r="E55" s="22"/>
      <c r="F55" s="20"/>
      <c r="G55" s="20"/>
      <c r="H55" s="20"/>
      <c r="K55" s="6"/>
      <c r="L55" s="6"/>
      <c r="M55" s="6"/>
      <c r="N55" s="6"/>
    </row>
    <row r="56" spans="2:14" x14ac:dyDescent="0.35">
      <c r="B56" s="21">
        <v>41548</v>
      </c>
      <c r="C56" s="22">
        <v>22.24</v>
      </c>
      <c r="D56" s="22">
        <v>19.559999999999999</v>
      </c>
      <c r="E56" s="22"/>
      <c r="F56" s="20"/>
      <c r="G56" s="20"/>
      <c r="H56" s="20"/>
      <c r="K56" s="6"/>
      <c r="L56" s="6"/>
      <c r="M56" s="6"/>
      <c r="N56" s="6"/>
    </row>
    <row r="57" spans="2:14" x14ac:dyDescent="0.35">
      <c r="B57" s="21">
        <v>41562</v>
      </c>
      <c r="C57" s="22">
        <v>23</v>
      </c>
      <c r="D57" s="22">
        <v>20.25</v>
      </c>
      <c r="E57" s="22"/>
      <c r="F57" s="20"/>
      <c r="G57" s="20"/>
      <c r="H57" s="20"/>
      <c r="K57" s="6"/>
      <c r="L57" s="6"/>
      <c r="M57" s="6"/>
      <c r="N57" s="6"/>
    </row>
    <row r="58" spans="2:14" x14ac:dyDescent="0.35">
      <c r="B58" s="21">
        <v>41563</v>
      </c>
      <c r="C58" s="22">
        <v>23.085000000000001</v>
      </c>
      <c r="D58" s="22">
        <v>20.38</v>
      </c>
      <c r="E58" s="22"/>
      <c r="F58" s="20"/>
      <c r="G58" s="20"/>
      <c r="H58" s="20"/>
      <c r="K58" s="6"/>
      <c r="L58" s="6"/>
      <c r="M58" s="6"/>
      <c r="N58" s="6"/>
    </row>
    <row r="59" spans="2:14" x14ac:dyDescent="0.35">
      <c r="B59" s="21">
        <v>41578</v>
      </c>
      <c r="C59" s="22">
        <v>23.8</v>
      </c>
      <c r="D59" s="22">
        <v>21.1</v>
      </c>
      <c r="E59" s="22"/>
      <c r="F59" s="20"/>
      <c r="G59" s="20"/>
      <c r="H59" s="20"/>
      <c r="K59" s="6"/>
      <c r="L59" s="6"/>
      <c r="M59" s="6"/>
      <c r="N59" s="6"/>
    </row>
    <row r="60" spans="2:14" x14ac:dyDescent="0.35">
      <c r="B60" s="21">
        <v>41579</v>
      </c>
      <c r="C60" s="22">
        <v>23.93</v>
      </c>
      <c r="D60" s="22">
        <v>21.2</v>
      </c>
      <c r="E60" s="22"/>
      <c r="F60" s="20"/>
      <c r="G60" s="20"/>
      <c r="H60" s="20"/>
      <c r="K60" s="6"/>
      <c r="L60" s="6"/>
      <c r="M60" s="6"/>
      <c r="N60" s="6"/>
    </row>
    <row r="61" spans="2:14" x14ac:dyDescent="0.35">
      <c r="B61" s="21">
        <v>41609</v>
      </c>
      <c r="C61" s="22">
        <v>24.4</v>
      </c>
      <c r="D61" s="25">
        <v>21.67</v>
      </c>
      <c r="E61" s="25">
        <v>24.4</v>
      </c>
      <c r="F61" s="22">
        <v>21.67</v>
      </c>
      <c r="G61" s="22">
        <f>C61-E61</f>
        <v>0</v>
      </c>
      <c r="H61" s="22">
        <f>D61-F61</f>
        <v>0</v>
      </c>
      <c r="J61" s="6"/>
      <c r="K61" s="6"/>
      <c r="L61" s="6"/>
      <c r="M61" s="6"/>
      <c r="N61" s="6"/>
    </row>
    <row r="62" spans="2:14" x14ac:dyDescent="0.35">
      <c r="B62" s="21">
        <v>41619</v>
      </c>
      <c r="C62" s="22">
        <v>24.4</v>
      </c>
      <c r="D62" s="25">
        <v>21.6</v>
      </c>
      <c r="E62" s="25">
        <v>24.24</v>
      </c>
      <c r="F62" s="22">
        <v>21.6</v>
      </c>
      <c r="G62" s="22">
        <f t="shared" ref="G62:G82" si="1">C62-E62</f>
        <v>0.16000000000000014</v>
      </c>
      <c r="H62" s="22">
        <f t="shared" ref="H62:H82" si="2">D62-F62</f>
        <v>0</v>
      </c>
      <c r="J62" s="6"/>
      <c r="K62" s="6"/>
      <c r="L62" s="6"/>
      <c r="M62" s="6"/>
      <c r="N62" s="6"/>
    </row>
    <row r="63" spans="2:14" x14ac:dyDescent="0.35">
      <c r="B63" s="21">
        <v>41629</v>
      </c>
      <c r="C63" s="22">
        <v>24.4</v>
      </c>
      <c r="D63" s="25">
        <v>21.55</v>
      </c>
      <c r="E63" s="25">
        <v>24.09</v>
      </c>
      <c r="F63" s="22">
        <v>21.55</v>
      </c>
      <c r="G63" s="22">
        <f t="shared" si="1"/>
        <v>0.30999999999999872</v>
      </c>
      <c r="H63" s="22">
        <f t="shared" si="2"/>
        <v>0</v>
      </c>
      <c r="J63" s="6"/>
      <c r="K63" s="6"/>
      <c r="L63" s="6"/>
      <c r="M63" s="6"/>
      <c r="N63" s="6"/>
    </row>
    <row r="64" spans="2:14" x14ac:dyDescent="0.35">
      <c r="B64" s="21">
        <v>41640</v>
      </c>
      <c r="C64" s="22">
        <v>24.4</v>
      </c>
      <c r="D64" s="25">
        <v>21.5</v>
      </c>
      <c r="E64" s="25">
        <v>23.93</v>
      </c>
      <c r="F64" s="22">
        <v>21.5</v>
      </c>
      <c r="G64" s="22">
        <f t="shared" si="1"/>
        <v>0.46999999999999886</v>
      </c>
      <c r="H64" s="22">
        <f t="shared" si="2"/>
        <v>0</v>
      </c>
      <c r="J64" s="6"/>
      <c r="K64" s="6"/>
      <c r="L64" s="6"/>
      <c r="M64" s="6"/>
      <c r="N64" s="6"/>
    </row>
    <row r="65" spans="2:14" x14ac:dyDescent="0.35">
      <c r="B65" s="21">
        <v>41650</v>
      </c>
      <c r="C65" s="22">
        <v>24.187096774193549</v>
      </c>
      <c r="D65" s="25">
        <v>21.21</v>
      </c>
      <c r="E65" s="25">
        <v>23.62</v>
      </c>
      <c r="F65" s="22">
        <v>21.21</v>
      </c>
      <c r="G65" s="22">
        <f t="shared" si="1"/>
        <v>0.56709677419354776</v>
      </c>
      <c r="H65" s="22">
        <f t="shared" si="2"/>
        <v>0</v>
      </c>
      <c r="J65" s="6"/>
      <c r="K65" s="6"/>
      <c r="L65" s="6"/>
      <c r="M65" s="6"/>
      <c r="N65" s="6"/>
    </row>
    <row r="66" spans="2:14" x14ac:dyDescent="0.35">
      <c r="B66" s="21">
        <v>41660</v>
      </c>
      <c r="C66" s="22">
        <v>23.993548387096773</v>
      </c>
      <c r="D66" s="25">
        <v>21.03</v>
      </c>
      <c r="E66" s="25">
        <v>23.3</v>
      </c>
      <c r="F66" s="22">
        <v>21.03</v>
      </c>
      <c r="G66" s="22">
        <f t="shared" si="1"/>
        <v>0.69354838709677225</v>
      </c>
      <c r="H66" s="22">
        <f t="shared" si="2"/>
        <v>0</v>
      </c>
      <c r="J66" s="6"/>
      <c r="K66" s="6"/>
      <c r="L66" s="6"/>
      <c r="M66" s="6"/>
      <c r="N66" s="6"/>
    </row>
    <row r="67" spans="2:14" x14ac:dyDescent="0.35">
      <c r="B67" s="21">
        <v>41671</v>
      </c>
      <c r="C67" s="22">
        <v>23.8</v>
      </c>
      <c r="D67" s="25">
        <v>20.81</v>
      </c>
      <c r="E67" s="25">
        <v>22.99</v>
      </c>
      <c r="F67" s="22">
        <v>20.81</v>
      </c>
      <c r="G67" s="22">
        <f t="shared" si="1"/>
        <v>0.81000000000000227</v>
      </c>
      <c r="H67" s="22">
        <f t="shared" si="2"/>
        <v>0</v>
      </c>
      <c r="J67" s="6"/>
      <c r="K67" s="6"/>
      <c r="L67" s="6"/>
      <c r="M67" s="6"/>
      <c r="N67" s="6"/>
    </row>
    <row r="68" spans="2:14" x14ac:dyDescent="0.35">
      <c r="B68" s="21">
        <v>41681</v>
      </c>
      <c r="C68" s="22">
        <v>23.336428571428574</v>
      </c>
      <c r="D68" s="25">
        <v>20.51</v>
      </c>
      <c r="E68" s="25">
        <v>22.64</v>
      </c>
      <c r="F68" s="22">
        <v>20.51</v>
      </c>
      <c r="G68" s="22">
        <f t="shared" si="1"/>
        <v>0.69642857142857295</v>
      </c>
      <c r="H68" s="22">
        <f t="shared" si="2"/>
        <v>0</v>
      </c>
      <c r="J68" s="6"/>
      <c r="K68" s="6"/>
      <c r="L68" s="6"/>
      <c r="M68" s="6"/>
      <c r="N68" s="6"/>
    </row>
    <row r="69" spans="2:14" x14ac:dyDescent="0.35">
      <c r="B69" s="21">
        <v>41691</v>
      </c>
      <c r="C69" s="22">
        <v>22.914999999999999</v>
      </c>
      <c r="D69" s="25">
        <v>20.21</v>
      </c>
      <c r="E69" s="25">
        <v>22.28</v>
      </c>
      <c r="F69" s="22">
        <v>20.21</v>
      </c>
      <c r="G69" s="22">
        <f t="shared" si="1"/>
        <v>0.63499999999999801</v>
      </c>
      <c r="H69" s="22">
        <f t="shared" si="2"/>
        <v>0</v>
      </c>
      <c r="J69" s="6"/>
      <c r="K69" s="6"/>
      <c r="L69" s="6"/>
      <c r="M69" s="6"/>
      <c r="N69" s="6"/>
    </row>
    <row r="70" spans="2:14" x14ac:dyDescent="0.35">
      <c r="B70" s="21">
        <v>41699</v>
      </c>
      <c r="C70" s="22">
        <v>22.62</v>
      </c>
      <c r="D70" s="25">
        <v>19.97</v>
      </c>
      <c r="E70" s="25">
        <v>21.93</v>
      </c>
      <c r="F70" s="22">
        <v>19.97</v>
      </c>
      <c r="G70" s="22">
        <f t="shared" si="1"/>
        <v>0.69000000000000128</v>
      </c>
      <c r="H70" s="22">
        <f t="shared" si="2"/>
        <v>0</v>
      </c>
      <c r="J70" s="6"/>
      <c r="K70" s="6"/>
      <c r="L70" s="6"/>
      <c r="M70" s="6"/>
      <c r="N70" s="6"/>
    </row>
    <row r="71" spans="2:14" x14ac:dyDescent="0.35">
      <c r="B71" s="21">
        <v>41709</v>
      </c>
      <c r="C71" s="22">
        <v>22.11967741935484</v>
      </c>
      <c r="D71" s="25">
        <v>19.46</v>
      </c>
      <c r="E71" s="25">
        <v>21.55</v>
      </c>
      <c r="F71" s="22">
        <v>19.46</v>
      </c>
      <c r="G71" s="22">
        <f t="shared" si="1"/>
        <v>0.56967741935483929</v>
      </c>
      <c r="H71" s="22">
        <f t="shared" si="2"/>
        <v>0</v>
      </c>
      <c r="J71" s="6"/>
      <c r="K71" s="6"/>
      <c r="L71" s="6"/>
      <c r="M71" s="6"/>
      <c r="N71" s="6"/>
    </row>
    <row r="72" spans="2:14" x14ac:dyDescent="0.35">
      <c r="B72" s="21">
        <v>41719</v>
      </c>
      <c r="C72" s="22">
        <v>21.664838709677419</v>
      </c>
      <c r="D72" s="25">
        <v>19.03</v>
      </c>
      <c r="E72" s="25">
        <v>21.26</v>
      </c>
      <c r="F72" s="22">
        <v>19.03</v>
      </c>
      <c r="G72" s="22">
        <f t="shared" si="1"/>
        <v>0.40483870967741709</v>
      </c>
      <c r="H72" s="22">
        <f t="shared" si="2"/>
        <v>0</v>
      </c>
      <c r="J72" s="6"/>
      <c r="K72" s="6"/>
      <c r="L72" s="6"/>
      <c r="M72" s="6"/>
      <c r="N72" s="6"/>
    </row>
    <row r="73" spans="2:14" x14ac:dyDescent="0.35">
      <c r="B73" s="21">
        <v>41730</v>
      </c>
      <c r="C73" s="22">
        <v>21.21</v>
      </c>
      <c r="D73" s="25">
        <v>18.59</v>
      </c>
      <c r="E73" s="25">
        <v>20.78</v>
      </c>
      <c r="F73" s="22">
        <v>18.59</v>
      </c>
      <c r="G73" s="22">
        <f t="shared" si="1"/>
        <v>0.42999999999999972</v>
      </c>
      <c r="H73" s="22">
        <f t="shared" si="2"/>
        <v>0</v>
      </c>
      <c r="J73" s="6"/>
      <c r="K73" s="6"/>
      <c r="L73" s="6"/>
      <c r="M73" s="6"/>
      <c r="N73" s="6"/>
    </row>
    <row r="74" spans="2:14" x14ac:dyDescent="0.35">
      <c r="B74" s="21">
        <v>41740</v>
      </c>
      <c r="C74" s="22">
        <v>20.843333333333334</v>
      </c>
      <c r="D74" s="25">
        <v>18.28</v>
      </c>
      <c r="E74" s="25">
        <v>20.51</v>
      </c>
      <c r="F74" s="22">
        <v>18.28</v>
      </c>
      <c r="G74" s="22">
        <f t="shared" si="1"/>
        <v>0.33333333333333215</v>
      </c>
      <c r="H74" s="22">
        <f t="shared" si="2"/>
        <v>0</v>
      </c>
      <c r="J74" s="6"/>
      <c r="K74" s="6"/>
      <c r="L74" s="6"/>
      <c r="M74" s="6"/>
      <c r="N74" s="6"/>
    </row>
    <row r="75" spans="2:14" x14ac:dyDescent="0.35">
      <c r="B75" s="21">
        <v>41750</v>
      </c>
      <c r="C75" s="22">
        <v>20.51</v>
      </c>
      <c r="D75" s="25">
        <v>17.98</v>
      </c>
      <c r="E75" s="25">
        <v>20.23</v>
      </c>
      <c r="F75" s="22">
        <v>17.98</v>
      </c>
      <c r="G75" s="22">
        <f t="shared" si="1"/>
        <v>0.28000000000000114</v>
      </c>
      <c r="H75" s="22">
        <f t="shared" si="2"/>
        <v>0</v>
      </c>
      <c r="J75" s="6"/>
      <c r="K75" s="6"/>
      <c r="L75" s="6"/>
      <c r="M75" s="6"/>
      <c r="N75" s="6"/>
    </row>
    <row r="76" spans="2:14" x14ac:dyDescent="0.35">
      <c r="B76" s="21">
        <v>41760</v>
      </c>
      <c r="C76" s="22">
        <v>20.21</v>
      </c>
      <c r="D76" s="25">
        <v>17.7</v>
      </c>
      <c r="E76" s="25">
        <v>19.96</v>
      </c>
      <c r="F76" s="22">
        <v>17.7</v>
      </c>
      <c r="G76" s="22">
        <f t="shared" si="1"/>
        <v>0.25</v>
      </c>
      <c r="H76" s="22">
        <f t="shared" si="2"/>
        <v>0</v>
      </c>
      <c r="J76" s="6"/>
      <c r="K76" s="6"/>
      <c r="L76" s="6"/>
      <c r="M76" s="6"/>
      <c r="N76" s="6"/>
    </row>
    <row r="77" spans="2:14" x14ac:dyDescent="0.35">
      <c r="B77" s="21">
        <v>41770</v>
      </c>
      <c r="C77" s="22">
        <v>20.025483870967744</v>
      </c>
      <c r="D77" s="25">
        <v>17.48</v>
      </c>
      <c r="E77" s="25">
        <v>19.78</v>
      </c>
      <c r="F77" s="22">
        <v>17.48</v>
      </c>
      <c r="G77" s="22">
        <f t="shared" si="1"/>
        <v>0.24548387096774249</v>
      </c>
      <c r="H77" s="22">
        <f t="shared" si="2"/>
        <v>0</v>
      </c>
      <c r="J77" s="6"/>
      <c r="K77" s="6"/>
      <c r="L77" s="6"/>
      <c r="M77" s="6"/>
      <c r="N77" s="6"/>
    </row>
    <row r="78" spans="2:14" x14ac:dyDescent="0.35">
      <c r="B78" s="21">
        <v>41780</v>
      </c>
      <c r="C78" s="22">
        <v>19.857741935483872</v>
      </c>
      <c r="D78" s="25">
        <v>17.45</v>
      </c>
      <c r="E78" s="25">
        <v>19.61</v>
      </c>
      <c r="F78" s="22">
        <v>17.45</v>
      </c>
      <c r="G78" s="22">
        <f t="shared" si="1"/>
        <v>0.24774193548387302</v>
      </c>
      <c r="H78" s="22">
        <f t="shared" si="2"/>
        <v>0</v>
      </c>
      <c r="J78" s="6"/>
      <c r="K78" s="6"/>
      <c r="L78" s="6"/>
      <c r="M78" s="6"/>
      <c r="N78" s="6"/>
    </row>
    <row r="79" spans="2:14" x14ac:dyDescent="0.35">
      <c r="B79" s="21">
        <v>41791</v>
      </c>
      <c r="C79" s="22">
        <v>19.690000000000001</v>
      </c>
      <c r="D79" s="25">
        <v>17.399999999999999</v>
      </c>
      <c r="E79" s="25">
        <v>19.43</v>
      </c>
      <c r="F79" s="22">
        <v>17.399999999999999</v>
      </c>
      <c r="G79" s="22">
        <f t="shared" si="1"/>
        <v>0.26000000000000156</v>
      </c>
      <c r="H79" s="22">
        <f t="shared" si="2"/>
        <v>0</v>
      </c>
      <c r="J79" s="6"/>
      <c r="K79" s="6"/>
      <c r="L79" s="6"/>
      <c r="M79" s="6"/>
      <c r="N79" s="6"/>
    </row>
    <row r="80" spans="2:14" x14ac:dyDescent="0.35">
      <c r="B80" s="21">
        <v>41801</v>
      </c>
      <c r="C80" s="22">
        <v>19.437000000000001</v>
      </c>
      <c r="D80" s="25">
        <v>17.38</v>
      </c>
      <c r="E80" s="25">
        <v>19.22</v>
      </c>
      <c r="F80" s="22">
        <v>17.38</v>
      </c>
      <c r="G80" s="22">
        <f t="shared" si="1"/>
        <v>0.2170000000000023</v>
      </c>
      <c r="H80" s="22">
        <f t="shared" si="2"/>
        <v>0</v>
      </c>
      <c r="J80" s="6"/>
      <c r="K80" s="6"/>
      <c r="L80" s="6"/>
      <c r="M80" s="6"/>
      <c r="N80" s="6"/>
    </row>
    <row r="81" spans="2:18" x14ac:dyDescent="0.35">
      <c r="B81" s="21">
        <v>41811</v>
      </c>
      <c r="C81" s="22">
        <v>19.207000000000001</v>
      </c>
      <c r="D81" s="25">
        <v>17.350000000000001</v>
      </c>
      <c r="E81" s="25">
        <v>19</v>
      </c>
      <c r="F81" s="22">
        <v>17.350000000000001</v>
      </c>
      <c r="G81" s="22">
        <f t="shared" si="1"/>
        <v>0.20700000000000074</v>
      </c>
      <c r="H81" s="22">
        <f t="shared" si="2"/>
        <v>0</v>
      </c>
      <c r="J81" s="6"/>
      <c r="K81" s="6"/>
      <c r="L81" s="6"/>
      <c r="M81" s="6"/>
      <c r="N81" s="6"/>
    </row>
    <row r="82" spans="2:18" x14ac:dyDescent="0.35">
      <c r="B82" s="21">
        <v>41820</v>
      </c>
      <c r="C82" s="22">
        <v>19</v>
      </c>
      <c r="D82" s="25">
        <v>17</v>
      </c>
      <c r="E82" s="25">
        <v>19</v>
      </c>
      <c r="F82" s="22">
        <v>17</v>
      </c>
      <c r="G82" s="22">
        <f t="shared" si="1"/>
        <v>0</v>
      </c>
      <c r="H82" s="22">
        <f t="shared" si="2"/>
        <v>0</v>
      </c>
      <c r="J82" s="6"/>
      <c r="K82" s="6"/>
      <c r="L82" s="6"/>
      <c r="M82" s="6"/>
      <c r="N82" s="6"/>
    </row>
    <row r="86" spans="2:18" ht="58.15" x14ac:dyDescent="0.35">
      <c r="B86" s="19" t="s">
        <v>29</v>
      </c>
      <c r="C86" s="1" t="s">
        <v>6</v>
      </c>
      <c r="D86" s="1" t="s">
        <v>7</v>
      </c>
      <c r="E86" s="1" t="s">
        <v>8</v>
      </c>
      <c r="F86" s="1" t="s">
        <v>9</v>
      </c>
      <c r="G86" s="1" t="s">
        <v>10</v>
      </c>
      <c r="H86" s="1" t="s">
        <v>11</v>
      </c>
      <c r="I86" s="1" t="s">
        <v>12</v>
      </c>
      <c r="J86" s="1" t="s">
        <v>15</v>
      </c>
      <c r="L86" s="29"/>
      <c r="N86" s="29"/>
      <c r="P86" s="29"/>
      <c r="R86" s="29"/>
    </row>
    <row r="87" spans="2:18" x14ac:dyDescent="0.35">
      <c r="B87" s="21">
        <v>41456</v>
      </c>
      <c r="C87" s="22">
        <v>17</v>
      </c>
      <c r="D87" s="22">
        <v>24.4</v>
      </c>
      <c r="E87" s="22">
        <v>25.1</v>
      </c>
      <c r="F87" s="22">
        <v>28</v>
      </c>
      <c r="G87" s="22">
        <v>26.92</v>
      </c>
      <c r="H87" s="22">
        <v>19</v>
      </c>
      <c r="I87" s="22">
        <v>17</v>
      </c>
      <c r="J87" s="22">
        <v>20.3</v>
      </c>
      <c r="L87" s="6"/>
      <c r="N87" s="6"/>
      <c r="P87" s="6"/>
      <c r="R87" s="6"/>
    </row>
    <row r="88" spans="2:18" x14ac:dyDescent="0.35">
      <c r="B88" s="21">
        <v>41470</v>
      </c>
      <c r="C88" s="22">
        <v>17</v>
      </c>
      <c r="D88" s="22">
        <v>24.4</v>
      </c>
      <c r="E88" s="22">
        <v>25.1</v>
      </c>
      <c r="F88" s="22">
        <v>28</v>
      </c>
      <c r="G88" s="22">
        <v>26.92</v>
      </c>
      <c r="H88" s="22">
        <v>19.2</v>
      </c>
      <c r="I88" s="22">
        <v>17.100000000000001</v>
      </c>
      <c r="J88" s="22">
        <v>20.3</v>
      </c>
      <c r="L88" s="6"/>
      <c r="N88" s="6"/>
      <c r="P88" s="6"/>
      <c r="R88" s="6"/>
    </row>
    <row r="89" spans="2:18" x14ac:dyDescent="0.35">
      <c r="B89" s="21">
        <v>41471</v>
      </c>
      <c r="C89" s="22">
        <v>17</v>
      </c>
      <c r="D89" s="22">
        <v>24.4</v>
      </c>
      <c r="E89" s="22">
        <v>25.1</v>
      </c>
      <c r="F89" s="22">
        <v>28</v>
      </c>
      <c r="G89" s="22">
        <v>26.92</v>
      </c>
      <c r="H89" s="22">
        <v>19.234999999999999</v>
      </c>
      <c r="I89" s="22">
        <v>17.164999999999999</v>
      </c>
      <c r="J89" s="22">
        <v>21.2</v>
      </c>
      <c r="L89" s="6"/>
      <c r="N89" s="6"/>
      <c r="P89" s="6"/>
      <c r="R89" s="6"/>
    </row>
    <row r="90" spans="2:18" x14ac:dyDescent="0.35">
      <c r="B90" s="21">
        <v>41486</v>
      </c>
      <c r="C90" s="22">
        <v>17</v>
      </c>
      <c r="D90" s="22">
        <v>24.4</v>
      </c>
      <c r="E90" s="22">
        <v>25.1</v>
      </c>
      <c r="F90" s="22">
        <v>28</v>
      </c>
      <c r="G90" s="22">
        <v>26.92</v>
      </c>
      <c r="H90" s="22">
        <v>19.399999999999999</v>
      </c>
      <c r="I90" s="22">
        <v>17.25</v>
      </c>
      <c r="J90" s="22">
        <v>21.2</v>
      </c>
      <c r="L90" s="6"/>
      <c r="N90" s="6"/>
      <c r="P90" s="6"/>
      <c r="R90" s="6"/>
    </row>
    <row r="91" spans="2:18" x14ac:dyDescent="0.35">
      <c r="B91" s="21">
        <v>41487</v>
      </c>
      <c r="C91" s="22">
        <v>17</v>
      </c>
      <c r="D91" s="22">
        <v>24.4</v>
      </c>
      <c r="E91" s="22">
        <v>25.1</v>
      </c>
      <c r="F91" s="22">
        <v>28</v>
      </c>
      <c r="G91" s="22">
        <v>26.92</v>
      </c>
      <c r="H91" s="22">
        <v>19.47</v>
      </c>
      <c r="I91" s="22">
        <v>17.329999999999998</v>
      </c>
      <c r="J91" s="22">
        <v>22.1</v>
      </c>
      <c r="L91" s="6"/>
      <c r="N91" s="6"/>
      <c r="P91" s="6"/>
      <c r="R91" s="6"/>
    </row>
    <row r="92" spans="2:18" x14ac:dyDescent="0.35">
      <c r="B92" s="21">
        <v>41501</v>
      </c>
      <c r="C92" s="22">
        <v>17</v>
      </c>
      <c r="D92" s="22">
        <v>24.4</v>
      </c>
      <c r="E92" s="22">
        <v>25.1</v>
      </c>
      <c r="F92" s="22">
        <v>28</v>
      </c>
      <c r="G92" s="22">
        <v>26.92</v>
      </c>
      <c r="H92" s="22">
        <v>19.899999999999999</v>
      </c>
      <c r="I92" s="22">
        <v>17.600000000000001</v>
      </c>
      <c r="J92" s="22">
        <v>22.1</v>
      </c>
      <c r="L92" s="6"/>
      <c r="N92" s="6"/>
      <c r="P92" s="6"/>
      <c r="R92" s="6"/>
    </row>
    <row r="93" spans="2:18" x14ac:dyDescent="0.35">
      <c r="B93" s="21">
        <v>41502</v>
      </c>
      <c r="C93" s="22">
        <v>17</v>
      </c>
      <c r="D93" s="22">
        <v>24.4</v>
      </c>
      <c r="E93" s="22">
        <v>25.1</v>
      </c>
      <c r="F93" s="22">
        <v>28</v>
      </c>
      <c r="G93" s="22">
        <v>26.92</v>
      </c>
      <c r="H93" s="22">
        <v>19.96</v>
      </c>
      <c r="I93" s="22">
        <v>17.565000000000001</v>
      </c>
      <c r="J93" s="22">
        <v>22.7</v>
      </c>
      <c r="L93" s="6"/>
      <c r="N93" s="6"/>
      <c r="P93" s="6"/>
      <c r="R93" s="6"/>
    </row>
    <row r="94" spans="2:18" x14ac:dyDescent="0.35">
      <c r="B94" s="21">
        <v>41517</v>
      </c>
      <c r="C94" s="22">
        <v>17</v>
      </c>
      <c r="D94" s="22">
        <v>24.4</v>
      </c>
      <c r="E94" s="22">
        <v>25.1</v>
      </c>
      <c r="F94" s="22">
        <v>28</v>
      </c>
      <c r="G94" s="22">
        <v>26.92</v>
      </c>
      <c r="H94" s="22">
        <v>20.399999999999999</v>
      </c>
      <c r="I94" s="22">
        <v>17.7</v>
      </c>
      <c r="J94" s="22">
        <v>22.7</v>
      </c>
      <c r="L94" s="6"/>
      <c r="N94" s="6"/>
      <c r="P94" s="6"/>
      <c r="R94" s="6"/>
    </row>
    <row r="95" spans="2:18" x14ac:dyDescent="0.35">
      <c r="B95" s="21">
        <v>41518</v>
      </c>
      <c r="C95" s="22">
        <v>17</v>
      </c>
      <c r="D95" s="22">
        <v>24.4</v>
      </c>
      <c r="E95" s="22">
        <v>25.1</v>
      </c>
      <c r="F95" s="22">
        <v>28</v>
      </c>
      <c r="G95" s="22">
        <v>26.92</v>
      </c>
      <c r="H95" s="22">
        <v>20.45</v>
      </c>
      <c r="I95" s="22">
        <v>17.8</v>
      </c>
      <c r="J95" s="22">
        <v>23.3</v>
      </c>
      <c r="L95" s="6"/>
      <c r="N95" s="6"/>
      <c r="P95" s="6"/>
      <c r="R95" s="6"/>
    </row>
    <row r="96" spans="2:18" x14ac:dyDescent="0.35">
      <c r="B96" s="21">
        <v>41532</v>
      </c>
      <c r="C96" s="22">
        <v>17</v>
      </c>
      <c r="D96" s="22">
        <v>24.4</v>
      </c>
      <c r="E96" s="22">
        <v>25.1</v>
      </c>
      <c r="F96" s="22">
        <v>28</v>
      </c>
      <c r="G96" s="22">
        <v>26.92</v>
      </c>
      <c r="H96" s="22">
        <v>21.3</v>
      </c>
      <c r="I96" s="22">
        <v>18.600000000000001</v>
      </c>
      <c r="J96" s="22">
        <v>23.3</v>
      </c>
      <c r="L96" s="6"/>
      <c r="N96" s="6"/>
      <c r="P96" s="24"/>
      <c r="R96" s="6"/>
    </row>
    <row r="97" spans="2:18" x14ac:dyDescent="0.35">
      <c r="B97" s="21">
        <v>41533</v>
      </c>
      <c r="C97" s="22">
        <v>17</v>
      </c>
      <c r="D97" s="22">
        <v>24.4</v>
      </c>
      <c r="E97" s="22">
        <v>25.1</v>
      </c>
      <c r="F97" s="22">
        <v>28</v>
      </c>
      <c r="G97" s="22">
        <v>26.92</v>
      </c>
      <c r="H97" s="22">
        <v>21.344999999999999</v>
      </c>
      <c r="I97" s="22">
        <v>18.68</v>
      </c>
      <c r="J97" s="22">
        <v>23.65</v>
      </c>
      <c r="L97" s="6"/>
      <c r="N97" s="6"/>
      <c r="P97" s="24"/>
      <c r="Q97" s="6"/>
      <c r="R97" s="6"/>
    </row>
    <row r="98" spans="2:18" x14ac:dyDescent="0.35">
      <c r="B98" s="21">
        <v>41547</v>
      </c>
      <c r="C98" s="22">
        <v>17</v>
      </c>
      <c r="D98" s="22">
        <v>24.4</v>
      </c>
      <c r="E98" s="22">
        <v>25.1</v>
      </c>
      <c r="F98" s="22">
        <v>28</v>
      </c>
      <c r="G98" s="22">
        <v>26.92</v>
      </c>
      <c r="H98" s="22">
        <v>22.15</v>
      </c>
      <c r="I98" s="22">
        <v>19.5</v>
      </c>
      <c r="J98" s="22">
        <v>23.65</v>
      </c>
      <c r="L98" s="6"/>
      <c r="N98" s="6"/>
      <c r="P98" s="24"/>
      <c r="Q98" s="6"/>
      <c r="R98" s="6"/>
    </row>
    <row r="99" spans="2:18" x14ac:dyDescent="0.35">
      <c r="B99" s="21">
        <v>41548</v>
      </c>
      <c r="C99" s="22">
        <v>17</v>
      </c>
      <c r="D99" s="22">
        <v>24.4</v>
      </c>
      <c r="E99" s="22">
        <v>25.1</v>
      </c>
      <c r="F99" s="22">
        <v>28</v>
      </c>
      <c r="G99" s="22">
        <v>26.92</v>
      </c>
      <c r="H99" s="22">
        <v>22.24</v>
      </c>
      <c r="I99" s="22">
        <v>19.559999999999999</v>
      </c>
      <c r="J99" s="22">
        <v>24</v>
      </c>
      <c r="L99" s="6"/>
      <c r="N99" s="6"/>
      <c r="P99" s="24"/>
      <c r="Q99" s="6"/>
      <c r="R99" s="6"/>
    </row>
    <row r="100" spans="2:18" x14ac:dyDescent="0.35">
      <c r="B100" s="21">
        <v>41562</v>
      </c>
      <c r="C100" s="22">
        <v>17</v>
      </c>
      <c r="D100" s="22">
        <v>24.4</v>
      </c>
      <c r="E100" s="22">
        <v>25.1</v>
      </c>
      <c r="F100" s="22">
        <v>28</v>
      </c>
      <c r="G100" s="22">
        <v>26.92</v>
      </c>
      <c r="H100" s="22">
        <v>23</v>
      </c>
      <c r="I100" s="22">
        <v>20.25</v>
      </c>
      <c r="J100" s="22">
        <v>24</v>
      </c>
      <c r="L100" s="6"/>
      <c r="N100" s="6"/>
      <c r="P100" s="24"/>
      <c r="Q100" s="6"/>
      <c r="R100" s="6"/>
    </row>
    <row r="101" spans="2:18" x14ac:dyDescent="0.35">
      <c r="B101" s="21">
        <v>41563</v>
      </c>
      <c r="C101" s="22">
        <v>17</v>
      </c>
      <c r="D101" s="22">
        <v>24.4</v>
      </c>
      <c r="E101" s="22">
        <v>25.1</v>
      </c>
      <c r="F101" s="22">
        <v>28</v>
      </c>
      <c r="G101" s="22">
        <v>26.92</v>
      </c>
      <c r="H101" s="22">
        <v>23.085000000000001</v>
      </c>
      <c r="I101" s="22">
        <v>20.38</v>
      </c>
      <c r="J101" s="22">
        <v>24.4</v>
      </c>
      <c r="L101" s="6"/>
      <c r="N101" s="6"/>
      <c r="P101" s="24"/>
      <c r="Q101" s="6"/>
      <c r="R101" s="6"/>
    </row>
    <row r="102" spans="2:18" x14ac:dyDescent="0.35">
      <c r="B102" s="21">
        <v>41578</v>
      </c>
      <c r="C102" s="22">
        <v>17</v>
      </c>
      <c r="D102" s="22">
        <v>24.4</v>
      </c>
      <c r="E102" s="22">
        <v>25.1</v>
      </c>
      <c r="F102" s="22">
        <v>28</v>
      </c>
      <c r="G102" s="22">
        <v>26.92</v>
      </c>
      <c r="H102" s="22">
        <v>23.8</v>
      </c>
      <c r="I102" s="22">
        <v>21.1</v>
      </c>
      <c r="J102" s="22">
        <v>24.4</v>
      </c>
      <c r="L102" s="6"/>
      <c r="N102" s="6"/>
      <c r="P102" s="24"/>
      <c r="Q102" s="6"/>
      <c r="R102" s="6"/>
    </row>
    <row r="103" spans="2:18" x14ac:dyDescent="0.35">
      <c r="B103" s="21">
        <v>41579</v>
      </c>
      <c r="C103" s="22">
        <v>17</v>
      </c>
      <c r="D103" s="22">
        <v>24.4</v>
      </c>
      <c r="E103" s="22">
        <v>25.1</v>
      </c>
      <c r="F103" s="22">
        <v>28</v>
      </c>
      <c r="G103" s="22">
        <v>26.92</v>
      </c>
      <c r="H103" s="22">
        <v>23.93</v>
      </c>
      <c r="I103" s="22">
        <v>21.2</v>
      </c>
      <c r="J103" s="22">
        <v>24.4</v>
      </c>
      <c r="L103" s="6"/>
      <c r="N103" s="6"/>
      <c r="P103" s="24"/>
      <c r="Q103" s="6"/>
      <c r="R103" s="6"/>
    </row>
    <row r="104" spans="2:18" x14ac:dyDescent="0.35">
      <c r="B104" s="21">
        <v>41609</v>
      </c>
      <c r="C104" s="22">
        <v>17</v>
      </c>
      <c r="D104" s="22">
        <v>24.4</v>
      </c>
      <c r="E104" s="22">
        <v>25.1</v>
      </c>
      <c r="F104" s="22">
        <v>28</v>
      </c>
      <c r="G104" s="22">
        <v>26.92</v>
      </c>
      <c r="H104" s="22">
        <v>24.4</v>
      </c>
      <c r="I104" s="22">
        <v>21.67</v>
      </c>
      <c r="J104" s="22">
        <v>24.4</v>
      </c>
      <c r="L104" s="6"/>
      <c r="N104" s="6"/>
      <c r="P104" s="24"/>
      <c r="Q104" s="6"/>
      <c r="R104" s="6"/>
    </row>
    <row r="105" spans="2:18" x14ac:dyDescent="0.35">
      <c r="B105" s="21">
        <v>41619</v>
      </c>
      <c r="C105" s="22">
        <v>17</v>
      </c>
      <c r="D105" s="22">
        <v>24.4</v>
      </c>
      <c r="E105" s="22">
        <v>25.1</v>
      </c>
      <c r="F105" s="22">
        <v>28</v>
      </c>
      <c r="G105" s="22">
        <v>26.92</v>
      </c>
      <c r="H105" s="22">
        <v>24.4</v>
      </c>
      <c r="I105" s="22">
        <v>21.6</v>
      </c>
      <c r="J105" s="22"/>
      <c r="L105" s="6"/>
      <c r="N105" s="6"/>
      <c r="P105" s="24"/>
      <c r="Q105" s="6"/>
      <c r="R105" s="6"/>
    </row>
    <row r="106" spans="2:18" x14ac:dyDescent="0.35">
      <c r="B106" s="21">
        <v>41629</v>
      </c>
      <c r="C106" s="22">
        <v>17</v>
      </c>
      <c r="D106" s="22">
        <v>24.4</v>
      </c>
      <c r="E106" s="22">
        <v>25.1</v>
      </c>
      <c r="F106" s="22">
        <v>28</v>
      </c>
      <c r="G106" s="22">
        <v>26.92</v>
      </c>
      <c r="H106" s="22">
        <v>24.4</v>
      </c>
      <c r="I106" s="22">
        <v>21.55</v>
      </c>
      <c r="J106" s="22"/>
      <c r="L106" s="6"/>
      <c r="N106" s="6"/>
      <c r="P106" s="24"/>
      <c r="Q106" s="6"/>
      <c r="R106" s="6"/>
    </row>
    <row r="107" spans="2:18" x14ac:dyDescent="0.35">
      <c r="B107" s="21">
        <v>41640</v>
      </c>
      <c r="C107" s="22">
        <v>17</v>
      </c>
      <c r="D107" s="22">
        <v>24.4</v>
      </c>
      <c r="E107" s="22">
        <v>25.1</v>
      </c>
      <c r="F107" s="22">
        <v>28</v>
      </c>
      <c r="G107" s="22">
        <v>26.92</v>
      </c>
      <c r="H107" s="22">
        <v>24.4</v>
      </c>
      <c r="I107" s="22">
        <v>21.5</v>
      </c>
      <c r="J107" s="22"/>
      <c r="L107" s="6"/>
      <c r="N107" s="6"/>
      <c r="P107" s="24"/>
      <c r="Q107" s="6"/>
      <c r="R107" s="6"/>
    </row>
    <row r="108" spans="2:18" x14ac:dyDescent="0.35">
      <c r="B108" s="21">
        <v>41650</v>
      </c>
      <c r="C108" s="22">
        <v>17</v>
      </c>
      <c r="D108" s="22">
        <v>24.4</v>
      </c>
      <c r="E108" s="22">
        <v>25.1</v>
      </c>
      <c r="F108" s="22">
        <v>28</v>
      </c>
      <c r="G108" s="22">
        <v>26.92</v>
      </c>
      <c r="H108" s="22">
        <v>24.187096774193549</v>
      </c>
      <c r="I108" s="22">
        <v>21.21</v>
      </c>
      <c r="J108" s="22"/>
      <c r="L108" s="6"/>
      <c r="N108" s="6"/>
      <c r="P108" s="24"/>
      <c r="Q108" s="6"/>
      <c r="R108" s="6"/>
    </row>
    <row r="109" spans="2:18" x14ac:dyDescent="0.35">
      <c r="B109" s="21">
        <v>41660</v>
      </c>
      <c r="C109" s="22">
        <v>17</v>
      </c>
      <c r="D109" s="22">
        <v>24.4</v>
      </c>
      <c r="E109" s="22">
        <v>25.1</v>
      </c>
      <c r="F109" s="22">
        <v>28</v>
      </c>
      <c r="G109" s="22">
        <v>26.92</v>
      </c>
      <c r="H109" s="22">
        <v>23.993548387096773</v>
      </c>
      <c r="I109" s="22">
        <v>21.03</v>
      </c>
      <c r="J109" s="22"/>
      <c r="L109" s="6"/>
      <c r="N109" s="6"/>
      <c r="P109" s="24"/>
      <c r="Q109" s="6"/>
      <c r="R109" s="6"/>
    </row>
    <row r="110" spans="2:18" x14ac:dyDescent="0.35">
      <c r="B110" s="21">
        <v>41671</v>
      </c>
      <c r="C110" s="22">
        <v>17</v>
      </c>
      <c r="D110" s="22">
        <v>24.4</v>
      </c>
      <c r="E110" s="22">
        <v>25.1</v>
      </c>
      <c r="F110" s="22">
        <v>28</v>
      </c>
      <c r="G110" s="22">
        <v>26.92</v>
      </c>
      <c r="H110" s="22">
        <v>23.8</v>
      </c>
      <c r="I110" s="22">
        <v>20.81</v>
      </c>
      <c r="J110" s="22"/>
      <c r="L110" s="6"/>
      <c r="N110" s="6"/>
      <c r="P110" s="24"/>
      <c r="Q110" s="6"/>
      <c r="R110" s="6"/>
    </row>
    <row r="111" spans="2:18" x14ac:dyDescent="0.35">
      <c r="B111" s="21">
        <v>41681</v>
      </c>
      <c r="C111" s="22">
        <v>17</v>
      </c>
      <c r="D111" s="22">
        <v>24.4</v>
      </c>
      <c r="E111" s="22">
        <v>25.1</v>
      </c>
      <c r="F111" s="22">
        <v>28</v>
      </c>
      <c r="G111" s="22">
        <v>26.92</v>
      </c>
      <c r="H111" s="22">
        <v>23.336428571428574</v>
      </c>
      <c r="I111" s="22">
        <v>20.51</v>
      </c>
      <c r="J111" s="22"/>
      <c r="L111" s="6"/>
      <c r="N111" s="6"/>
      <c r="P111" s="24"/>
      <c r="Q111" s="6"/>
      <c r="R111" s="6"/>
    </row>
    <row r="112" spans="2:18" x14ac:dyDescent="0.35">
      <c r="B112" s="21">
        <v>41691</v>
      </c>
      <c r="C112" s="22">
        <v>17</v>
      </c>
      <c r="D112" s="22">
        <v>24.4</v>
      </c>
      <c r="E112" s="22">
        <v>25.1</v>
      </c>
      <c r="F112" s="22">
        <v>28</v>
      </c>
      <c r="G112" s="22">
        <v>26.92</v>
      </c>
      <c r="H112" s="22">
        <v>22.914999999999999</v>
      </c>
      <c r="I112" s="22">
        <v>20.21</v>
      </c>
      <c r="J112" s="22"/>
      <c r="L112" s="6"/>
      <c r="N112" s="6"/>
      <c r="P112" s="24"/>
      <c r="Q112" s="6"/>
      <c r="R112" s="6"/>
    </row>
    <row r="113" spans="2:18" x14ac:dyDescent="0.35">
      <c r="B113" s="21">
        <v>41699</v>
      </c>
      <c r="C113" s="22">
        <v>17</v>
      </c>
      <c r="D113" s="22">
        <v>24.4</v>
      </c>
      <c r="E113" s="22">
        <v>25.1</v>
      </c>
      <c r="F113" s="22">
        <v>28</v>
      </c>
      <c r="G113" s="22">
        <v>26.92</v>
      </c>
      <c r="H113" s="22">
        <v>22.62</v>
      </c>
      <c r="I113" s="22">
        <v>19.97</v>
      </c>
      <c r="J113" s="22"/>
      <c r="L113" s="6"/>
      <c r="N113" s="6"/>
      <c r="P113" s="24"/>
      <c r="Q113" s="6"/>
      <c r="R113" s="6"/>
    </row>
    <row r="114" spans="2:18" x14ac:dyDescent="0.35">
      <c r="B114" s="21">
        <v>41709</v>
      </c>
      <c r="C114" s="22">
        <v>17</v>
      </c>
      <c r="D114" s="22">
        <v>24.4</v>
      </c>
      <c r="E114" s="22">
        <v>25.1</v>
      </c>
      <c r="F114" s="22">
        <v>28</v>
      </c>
      <c r="G114" s="22">
        <v>26.92</v>
      </c>
      <c r="H114" s="22">
        <v>22.11967741935484</v>
      </c>
      <c r="I114" s="22">
        <v>19.46</v>
      </c>
      <c r="J114" s="22"/>
      <c r="L114" s="6"/>
      <c r="N114" s="6"/>
      <c r="P114" s="24"/>
      <c r="Q114" s="6"/>
      <c r="R114" s="6"/>
    </row>
    <row r="115" spans="2:18" x14ac:dyDescent="0.35">
      <c r="B115" s="21">
        <v>41719</v>
      </c>
      <c r="C115" s="22">
        <v>17</v>
      </c>
      <c r="D115" s="22">
        <v>24.4</v>
      </c>
      <c r="E115" s="22">
        <v>25.1</v>
      </c>
      <c r="F115" s="22">
        <v>28</v>
      </c>
      <c r="G115" s="22">
        <v>26.92</v>
      </c>
      <c r="H115" s="22">
        <v>21.664838709677419</v>
      </c>
      <c r="I115" s="22">
        <v>19.03</v>
      </c>
      <c r="J115" s="22"/>
      <c r="L115" s="6"/>
      <c r="N115" s="6"/>
      <c r="P115" s="24"/>
      <c r="Q115" s="6"/>
      <c r="R115" s="6"/>
    </row>
    <row r="116" spans="2:18" x14ac:dyDescent="0.35">
      <c r="B116" s="21">
        <v>41730</v>
      </c>
      <c r="C116" s="22">
        <v>17</v>
      </c>
      <c r="D116" s="22">
        <v>24.4</v>
      </c>
      <c r="E116" s="22">
        <v>25.1</v>
      </c>
      <c r="F116" s="22">
        <v>28</v>
      </c>
      <c r="G116" s="22">
        <v>26.92</v>
      </c>
      <c r="H116" s="22">
        <v>21.21</v>
      </c>
      <c r="I116" s="22">
        <v>18.59</v>
      </c>
      <c r="J116" s="22"/>
      <c r="L116" s="6"/>
      <c r="N116" s="6"/>
      <c r="P116" s="24"/>
      <c r="Q116" s="6"/>
      <c r="R116" s="6"/>
    </row>
    <row r="117" spans="2:18" x14ac:dyDescent="0.35">
      <c r="B117" s="21">
        <v>41740</v>
      </c>
      <c r="C117" s="22">
        <v>17</v>
      </c>
      <c r="D117" s="22">
        <v>24.4</v>
      </c>
      <c r="E117" s="22">
        <v>25.1</v>
      </c>
      <c r="F117" s="22">
        <v>28</v>
      </c>
      <c r="G117" s="22">
        <v>26.92</v>
      </c>
      <c r="H117" s="22">
        <v>20.843333333333334</v>
      </c>
      <c r="I117" s="22">
        <v>18.28</v>
      </c>
      <c r="J117" s="22"/>
      <c r="L117" s="6"/>
      <c r="N117" s="6"/>
      <c r="P117" s="24"/>
      <c r="Q117" s="6"/>
      <c r="R117" s="6"/>
    </row>
    <row r="118" spans="2:18" x14ac:dyDescent="0.35">
      <c r="B118" s="21">
        <v>41750</v>
      </c>
      <c r="C118" s="22">
        <v>17</v>
      </c>
      <c r="D118" s="22">
        <v>24.4</v>
      </c>
      <c r="E118" s="22">
        <v>25.1</v>
      </c>
      <c r="F118" s="22">
        <v>28</v>
      </c>
      <c r="G118" s="22">
        <v>26.92</v>
      </c>
      <c r="H118" s="22">
        <v>20.51</v>
      </c>
      <c r="I118" s="22">
        <v>17.98</v>
      </c>
      <c r="J118" s="20"/>
    </row>
    <row r="119" spans="2:18" x14ac:dyDescent="0.35">
      <c r="B119" s="21">
        <v>41760</v>
      </c>
      <c r="C119" s="22">
        <v>17</v>
      </c>
      <c r="D119" s="22">
        <v>24.4</v>
      </c>
      <c r="E119" s="22">
        <v>25.1</v>
      </c>
      <c r="F119" s="22">
        <v>28</v>
      </c>
      <c r="G119" s="22">
        <v>26.92</v>
      </c>
      <c r="H119" s="22">
        <v>20.21</v>
      </c>
      <c r="I119" s="22">
        <v>17.7</v>
      </c>
      <c r="J119" s="20"/>
    </row>
    <row r="120" spans="2:18" x14ac:dyDescent="0.35">
      <c r="B120" s="21">
        <v>41770</v>
      </c>
      <c r="C120" s="22">
        <v>17</v>
      </c>
      <c r="D120" s="22">
        <v>24.4</v>
      </c>
      <c r="E120" s="22">
        <v>25.1</v>
      </c>
      <c r="F120" s="22">
        <v>28</v>
      </c>
      <c r="G120" s="22">
        <v>26.92</v>
      </c>
      <c r="H120" s="22">
        <v>20.025483870967744</v>
      </c>
      <c r="I120" s="22">
        <v>17.48</v>
      </c>
      <c r="J120" s="20"/>
    </row>
    <row r="121" spans="2:18" x14ac:dyDescent="0.35">
      <c r="B121" s="21">
        <v>41780</v>
      </c>
      <c r="C121" s="22">
        <v>17</v>
      </c>
      <c r="D121" s="22">
        <v>24.4</v>
      </c>
      <c r="E121" s="22">
        <v>25.1</v>
      </c>
      <c r="F121" s="22">
        <v>28</v>
      </c>
      <c r="G121" s="22">
        <v>26.92</v>
      </c>
      <c r="H121" s="22">
        <v>19.857741935483872</v>
      </c>
      <c r="I121" s="22">
        <v>17.45</v>
      </c>
      <c r="J121" s="20"/>
    </row>
    <row r="122" spans="2:18" x14ac:dyDescent="0.35">
      <c r="B122" s="21">
        <v>41791</v>
      </c>
      <c r="C122" s="22">
        <v>17</v>
      </c>
      <c r="D122" s="22">
        <v>24.4</v>
      </c>
      <c r="E122" s="22">
        <v>25.1</v>
      </c>
      <c r="F122" s="22">
        <v>28</v>
      </c>
      <c r="G122" s="22">
        <v>26.92</v>
      </c>
      <c r="H122" s="22">
        <v>19.690000000000001</v>
      </c>
      <c r="I122" s="22">
        <v>17.399999999999999</v>
      </c>
      <c r="J122" s="20"/>
    </row>
    <row r="123" spans="2:18" x14ac:dyDescent="0.35">
      <c r="B123" s="21">
        <v>41801</v>
      </c>
      <c r="C123" s="22">
        <v>17</v>
      </c>
      <c r="D123" s="22">
        <v>24.4</v>
      </c>
      <c r="E123" s="22">
        <v>25.1</v>
      </c>
      <c r="F123" s="22">
        <v>28</v>
      </c>
      <c r="G123" s="22">
        <v>26.92</v>
      </c>
      <c r="H123" s="22">
        <v>19.437000000000001</v>
      </c>
      <c r="I123" s="22">
        <v>17.38</v>
      </c>
      <c r="J123" s="20"/>
    </row>
    <row r="124" spans="2:18" x14ac:dyDescent="0.35">
      <c r="B124" s="21">
        <v>41811</v>
      </c>
      <c r="C124" s="22">
        <v>17</v>
      </c>
      <c r="D124" s="22">
        <v>24.4</v>
      </c>
      <c r="E124" s="22">
        <v>25.1</v>
      </c>
      <c r="F124" s="22">
        <v>28</v>
      </c>
      <c r="G124" s="22">
        <v>26.92</v>
      </c>
      <c r="H124" s="22">
        <v>19.207000000000001</v>
      </c>
      <c r="I124" s="22">
        <v>17.350000000000001</v>
      </c>
      <c r="J124" s="20"/>
    </row>
    <row r="125" spans="2:18" x14ac:dyDescent="0.35">
      <c r="B125" s="21">
        <v>41820</v>
      </c>
      <c r="C125" s="22">
        <v>17</v>
      </c>
      <c r="D125" s="22">
        <v>24.4</v>
      </c>
      <c r="E125" s="22">
        <v>25.1</v>
      </c>
      <c r="F125" s="22">
        <v>28</v>
      </c>
      <c r="G125" s="22">
        <v>26.92</v>
      </c>
      <c r="H125" s="22">
        <v>19</v>
      </c>
      <c r="I125" s="22">
        <v>17</v>
      </c>
      <c r="J125" s="20"/>
    </row>
  </sheetData>
  <mergeCells count="5">
    <mergeCell ref="B42:B43"/>
    <mergeCell ref="C42:D42"/>
    <mergeCell ref="E42:F42"/>
    <mergeCell ref="G42:H42"/>
    <mergeCell ref="D12:K13"/>
  </mergeCells>
  <phoneticPr fontId="1" type="noConversion"/>
  <pageMargins left="0.4" right="0.18" top="1" bottom="1" header="0.5" footer="0.5"/>
  <pageSetup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CAE6-97E4-4B89-B780-23DA89DB2183}">
  <sheetPr>
    <tabColor indexed="53"/>
  </sheetPr>
  <dimension ref="A1:AO93"/>
  <sheetViews>
    <sheetView topLeftCell="A76" zoomScale="130" workbookViewId="0">
      <selection activeCell="B15" sqref="B15"/>
    </sheetView>
  </sheetViews>
  <sheetFormatPr defaultColWidth="9.1328125" defaultRowHeight="11.65" x14ac:dyDescent="0.35"/>
  <cols>
    <col min="1" max="1" width="16.73046875" style="10" customWidth="1"/>
    <col min="2" max="18" width="6.73046875" style="5" customWidth="1"/>
    <col min="19" max="19" width="6.86328125" style="5" customWidth="1"/>
    <col min="20" max="36" width="6.73046875" style="5" customWidth="1"/>
    <col min="37" max="40" width="9.1328125" style="5"/>
    <col min="41" max="41" width="17.1328125" style="5" customWidth="1"/>
    <col min="42" max="16384" width="9.1328125" style="5"/>
  </cols>
  <sheetData>
    <row r="1" spans="1:41" x14ac:dyDescent="0.35">
      <c r="A1" s="3" t="s">
        <v>5</v>
      </c>
      <c r="B1" s="4">
        <v>41456</v>
      </c>
      <c r="C1" s="4">
        <v>41470</v>
      </c>
      <c r="D1" s="4">
        <v>41471</v>
      </c>
      <c r="E1" s="4">
        <v>41486</v>
      </c>
      <c r="F1" s="4">
        <v>41487</v>
      </c>
      <c r="G1" s="4">
        <v>41501</v>
      </c>
      <c r="H1" s="4">
        <v>41502</v>
      </c>
      <c r="I1" s="4">
        <v>41517</v>
      </c>
      <c r="J1" s="4">
        <v>41518</v>
      </c>
      <c r="K1" s="4">
        <v>41532</v>
      </c>
      <c r="L1" s="4">
        <v>41533</v>
      </c>
      <c r="M1" s="4">
        <v>41547</v>
      </c>
      <c r="N1" s="4">
        <v>41548</v>
      </c>
      <c r="O1" s="4">
        <v>41562</v>
      </c>
      <c r="P1" s="4">
        <v>41563</v>
      </c>
      <c r="Q1" s="4">
        <v>41578</v>
      </c>
      <c r="R1" s="4">
        <v>41579</v>
      </c>
      <c r="S1" s="4">
        <v>41609</v>
      </c>
      <c r="T1" s="4">
        <v>41619</v>
      </c>
      <c r="U1" s="4">
        <v>41629</v>
      </c>
      <c r="V1" s="4">
        <v>41640</v>
      </c>
      <c r="W1" s="4">
        <v>41650</v>
      </c>
      <c r="X1" s="4">
        <v>41660</v>
      </c>
      <c r="Y1" s="4">
        <v>41671</v>
      </c>
      <c r="Z1" s="4">
        <v>41681</v>
      </c>
      <c r="AA1" s="4">
        <v>41691</v>
      </c>
      <c r="AB1" s="4">
        <v>41699</v>
      </c>
      <c r="AC1" s="4">
        <v>41709</v>
      </c>
      <c r="AD1" s="4">
        <v>41719</v>
      </c>
      <c r="AE1" s="4">
        <v>41730</v>
      </c>
      <c r="AF1" s="4">
        <v>41740</v>
      </c>
      <c r="AG1" s="4">
        <v>41750</v>
      </c>
      <c r="AH1" s="4">
        <v>41760</v>
      </c>
      <c r="AI1" s="4">
        <v>41770</v>
      </c>
      <c r="AJ1" s="4">
        <v>41780</v>
      </c>
      <c r="AK1" s="4">
        <v>41791</v>
      </c>
      <c r="AL1" s="4">
        <v>41801</v>
      </c>
      <c r="AM1" s="4">
        <v>41811</v>
      </c>
      <c r="AN1" s="4">
        <v>41820</v>
      </c>
    </row>
    <row r="2" spans="1:41" x14ac:dyDescent="0.35">
      <c r="A2" s="3" t="s">
        <v>0</v>
      </c>
      <c r="B2" s="6">
        <v>17</v>
      </c>
      <c r="C2" s="6">
        <v>17</v>
      </c>
      <c r="D2" s="6">
        <v>17</v>
      </c>
      <c r="E2" s="6">
        <v>17</v>
      </c>
      <c r="F2" s="6">
        <v>17</v>
      </c>
      <c r="G2" s="6">
        <v>17</v>
      </c>
      <c r="H2" s="6">
        <v>17</v>
      </c>
      <c r="I2" s="6">
        <v>17</v>
      </c>
      <c r="J2" s="6">
        <v>17</v>
      </c>
      <c r="K2" s="6">
        <v>17</v>
      </c>
      <c r="L2" s="6">
        <v>17</v>
      </c>
      <c r="M2" s="6">
        <v>17</v>
      </c>
      <c r="N2" s="6">
        <v>17</v>
      </c>
      <c r="O2" s="6">
        <v>17</v>
      </c>
      <c r="P2" s="6">
        <v>17</v>
      </c>
      <c r="Q2" s="6">
        <v>17</v>
      </c>
      <c r="R2" s="6">
        <v>17</v>
      </c>
      <c r="S2" s="6">
        <v>17</v>
      </c>
      <c r="T2" s="6">
        <v>17</v>
      </c>
      <c r="U2" s="6">
        <v>17</v>
      </c>
      <c r="V2" s="6">
        <v>17</v>
      </c>
      <c r="W2" s="6">
        <v>17</v>
      </c>
      <c r="X2" s="6">
        <v>17</v>
      </c>
      <c r="Y2" s="6">
        <v>17</v>
      </c>
      <c r="Z2" s="6">
        <v>17</v>
      </c>
      <c r="AA2" s="6">
        <v>17</v>
      </c>
      <c r="AB2" s="6">
        <v>17</v>
      </c>
      <c r="AC2" s="6">
        <v>17</v>
      </c>
      <c r="AD2" s="6">
        <v>17</v>
      </c>
      <c r="AE2" s="6">
        <v>17</v>
      </c>
      <c r="AF2" s="6">
        <v>17</v>
      </c>
      <c r="AG2" s="6">
        <v>17</v>
      </c>
      <c r="AH2" s="6">
        <v>17</v>
      </c>
      <c r="AI2" s="6">
        <v>17</v>
      </c>
      <c r="AJ2" s="6">
        <v>17</v>
      </c>
      <c r="AK2" s="6">
        <v>17</v>
      </c>
      <c r="AL2" s="6">
        <v>17</v>
      </c>
      <c r="AM2" s="6">
        <v>17</v>
      </c>
      <c r="AN2" s="6">
        <v>17</v>
      </c>
    </row>
    <row r="3" spans="1:41" x14ac:dyDescent="0.35">
      <c r="A3" s="3" t="s">
        <v>1</v>
      </c>
      <c r="B3" s="6">
        <v>24.4</v>
      </c>
      <c r="C3" s="6">
        <v>24.4</v>
      </c>
      <c r="D3" s="6">
        <v>24.4</v>
      </c>
      <c r="E3" s="6">
        <v>24.4</v>
      </c>
      <c r="F3" s="6">
        <v>24.4</v>
      </c>
      <c r="G3" s="6">
        <v>24.4</v>
      </c>
      <c r="H3" s="6">
        <v>24.4</v>
      </c>
      <c r="I3" s="6">
        <v>24.4</v>
      </c>
      <c r="J3" s="6">
        <v>24.4</v>
      </c>
      <c r="K3" s="6">
        <v>24.4</v>
      </c>
      <c r="L3" s="6">
        <v>24.4</v>
      </c>
      <c r="M3" s="6">
        <v>24.4</v>
      </c>
      <c r="N3" s="6">
        <v>24.4</v>
      </c>
      <c r="O3" s="6">
        <v>24.4</v>
      </c>
      <c r="P3" s="6">
        <v>24.4</v>
      </c>
      <c r="Q3" s="6">
        <v>24.4</v>
      </c>
      <c r="R3" s="6">
        <v>24.4</v>
      </c>
      <c r="S3" s="6">
        <v>24.4</v>
      </c>
      <c r="T3" s="6">
        <v>24.4</v>
      </c>
      <c r="U3" s="6">
        <v>24.4</v>
      </c>
      <c r="V3" s="6">
        <v>24.4</v>
      </c>
      <c r="W3" s="6">
        <v>24.4</v>
      </c>
      <c r="X3" s="6">
        <v>24.4</v>
      </c>
      <c r="Y3" s="6">
        <v>24.4</v>
      </c>
      <c r="Z3" s="6">
        <v>24.4</v>
      </c>
      <c r="AA3" s="6">
        <v>24.4</v>
      </c>
      <c r="AB3" s="6">
        <v>24.4</v>
      </c>
      <c r="AC3" s="6">
        <v>24.4</v>
      </c>
      <c r="AD3" s="6">
        <v>24.4</v>
      </c>
      <c r="AE3" s="6">
        <v>24.4</v>
      </c>
      <c r="AF3" s="6">
        <v>24.4</v>
      </c>
      <c r="AG3" s="6">
        <v>24.4</v>
      </c>
      <c r="AH3" s="6">
        <v>24.4</v>
      </c>
      <c r="AI3" s="6">
        <v>24.4</v>
      </c>
      <c r="AJ3" s="6">
        <v>24.4</v>
      </c>
      <c r="AK3" s="6">
        <v>24.4</v>
      </c>
      <c r="AL3" s="6">
        <v>24.4</v>
      </c>
      <c r="AM3" s="6">
        <v>24.4</v>
      </c>
      <c r="AN3" s="6">
        <v>24.4</v>
      </c>
    </row>
    <row r="4" spans="1:41" x14ac:dyDescent="0.35">
      <c r="A4" s="3" t="s">
        <v>2</v>
      </c>
      <c r="B4" s="6">
        <v>25.1</v>
      </c>
      <c r="C4" s="6">
        <v>25.1</v>
      </c>
      <c r="D4" s="6">
        <v>25.1</v>
      </c>
      <c r="E4" s="6">
        <v>25.1</v>
      </c>
      <c r="F4" s="6">
        <v>25.1</v>
      </c>
      <c r="G4" s="6">
        <v>25.1</v>
      </c>
      <c r="H4" s="6">
        <v>25.1</v>
      </c>
      <c r="I4" s="6">
        <v>25.1</v>
      </c>
      <c r="J4" s="6">
        <v>25.1</v>
      </c>
      <c r="K4" s="6">
        <v>25.1</v>
      </c>
      <c r="L4" s="6">
        <v>25.1</v>
      </c>
      <c r="M4" s="6">
        <v>25.1</v>
      </c>
      <c r="N4" s="6">
        <v>25.1</v>
      </c>
      <c r="O4" s="6">
        <v>25.1</v>
      </c>
      <c r="P4" s="6">
        <v>25.1</v>
      </c>
      <c r="Q4" s="6">
        <v>25.1</v>
      </c>
      <c r="R4" s="6">
        <v>25.1</v>
      </c>
      <c r="S4" s="6">
        <v>25.1</v>
      </c>
      <c r="T4" s="6">
        <v>25.1</v>
      </c>
      <c r="U4" s="6">
        <v>25.1</v>
      </c>
      <c r="V4" s="6">
        <v>25.1</v>
      </c>
      <c r="W4" s="6">
        <v>25.1</v>
      </c>
      <c r="X4" s="6">
        <v>25.1</v>
      </c>
      <c r="Y4" s="6">
        <v>25.1</v>
      </c>
      <c r="Z4" s="6">
        <v>25.1</v>
      </c>
      <c r="AA4" s="6">
        <v>25.1</v>
      </c>
      <c r="AB4" s="6">
        <v>25.1</v>
      </c>
      <c r="AC4" s="6">
        <v>25.1</v>
      </c>
      <c r="AD4" s="6">
        <v>25.1</v>
      </c>
      <c r="AE4" s="6">
        <v>25.1</v>
      </c>
      <c r="AF4" s="6">
        <v>25.1</v>
      </c>
      <c r="AG4" s="6">
        <v>25.1</v>
      </c>
      <c r="AH4" s="6">
        <v>25.1</v>
      </c>
      <c r="AI4" s="6">
        <v>25.1</v>
      </c>
      <c r="AJ4" s="6">
        <v>25.1</v>
      </c>
      <c r="AK4" s="6">
        <v>25.1</v>
      </c>
      <c r="AL4" s="6">
        <v>25.1</v>
      </c>
      <c r="AM4" s="6">
        <v>25.1</v>
      </c>
      <c r="AN4" s="6">
        <v>25.1</v>
      </c>
    </row>
    <row r="5" spans="1:41" x14ac:dyDescent="0.35">
      <c r="A5" s="3" t="s">
        <v>3</v>
      </c>
      <c r="B5" s="6">
        <v>28</v>
      </c>
      <c r="C5" s="6">
        <v>28</v>
      </c>
      <c r="D5" s="6">
        <v>28</v>
      </c>
      <c r="E5" s="6">
        <v>28</v>
      </c>
      <c r="F5" s="6">
        <v>28</v>
      </c>
      <c r="G5" s="6">
        <v>28</v>
      </c>
      <c r="H5" s="6">
        <v>28</v>
      </c>
      <c r="I5" s="6">
        <v>28</v>
      </c>
      <c r="J5" s="6">
        <v>28</v>
      </c>
      <c r="K5" s="6">
        <v>28</v>
      </c>
      <c r="L5" s="6">
        <v>28</v>
      </c>
      <c r="M5" s="6">
        <v>28</v>
      </c>
      <c r="N5" s="6">
        <v>28</v>
      </c>
      <c r="O5" s="6">
        <v>28</v>
      </c>
      <c r="P5" s="6">
        <v>28</v>
      </c>
      <c r="Q5" s="6">
        <v>28</v>
      </c>
      <c r="R5" s="6">
        <v>28</v>
      </c>
      <c r="S5" s="6">
        <v>28</v>
      </c>
      <c r="T5" s="6">
        <v>28</v>
      </c>
      <c r="U5" s="6">
        <v>28</v>
      </c>
      <c r="V5" s="6">
        <v>28</v>
      </c>
      <c r="W5" s="6">
        <v>28</v>
      </c>
      <c r="X5" s="6">
        <v>28</v>
      </c>
      <c r="Y5" s="6">
        <v>28</v>
      </c>
      <c r="Z5" s="6">
        <v>28</v>
      </c>
      <c r="AA5" s="6">
        <v>28</v>
      </c>
      <c r="AB5" s="6">
        <v>28</v>
      </c>
      <c r="AC5" s="6">
        <v>28</v>
      </c>
      <c r="AD5" s="6">
        <v>28</v>
      </c>
      <c r="AE5" s="6">
        <v>28</v>
      </c>
      <c r="AF5" s="6">
        <v>28</v>
      </c>
      <c r="AG5" s="6">
        <v>28</v>
      </c>
      <c r="AH5" s="6">
        <v>28</v>
      </c>
      <c r="AI5" s="6">
        <v>28</v>
      </c>
      <c r="AJ5" s="6">
        <v>28</v>
      </c>
      <c r="AK5" s="6">
        <v>28</v>
      </c>
      <c r="AL5" s="6">
        <v>28</v>
      </c>
      <c r="AM5" s="6">
        <v>28</v>
      </c>
      <c r="AN5" s="6">
        <v>28</v>
      </c>
    </row>
    <row r="6" spans="1:41" x14ac:dyDescent="0.35">
      <c r="A6" s="3" t="s">
        <v>4</v>
      </c>
      <c r="B6" s="6">
        <v>26.92</v>
      </c>
      <c r="C6" s="6">
        <v>26.92</v>
      </c>
      <c r="D6" s="6">
        <v>26.92</v>
      </c>
      <c r="E6" s="6">
        <v>26.92</v>
      </c>
      <c r="F6" s="6">
        <v>26.92</v>
      </c>
      <c r="G6" s="6">
        <v>26.92</v>
      </c>
      <c r="H6" s="6">
        <v>26.92</v>
      </c>
      <c r="I6" s="6">
        <v>26.92</v>
      </c>
      <c r="J6" s="6">
        <v>26.92</v>
      </c>
      <c r="K6" s="6">
        <v>26.92</v>
      </c>
      <c r="L6" s="6">
        <v>26.92</v>
      </c>
      <c r="M6" s="6">
        <v>26.92</v>
      </c>
      <c r="N6" s="6">
        <v>26.92</v>
      </c>
      <c r="O6" s="6">
        <v>26.92</v>
      </c>
      <c r="P6" s="6">
        <v>26.92</v>
      </c>
      <c r="Q6" s="6">
        <v>26.92</v>
      </c>
      <c r="R6" s="6">
        <v>26.92</v>
      </c>
      <c r="S6" s="6">
        <v>26.92</v>
      </c>
      <c r="T6" s="6">
        <v>26.92</v>
      </c>
      <c r="U6" s="6">
        <v>26.92</v>
      </c>
      <c r="V6" s="6">
        <v>26.92</v>
      </c>
      <c r="W6" s="6">
        <v>26.92</v>
      </c>
      <c r="X6" s="6">
        <v>26.92</v>
      </c>
      <c r="Y6" s="6">
        <v>26.92</v>
      </c>
      <c r="Z6" s="6">
        <v>26.92</v>
      </c>
      <c r="AA6" s="6">
        <v>26.92</v>
      </c>
      <c r="AB6" s="6">
        <v>26.92</v>
      </c>
      <c r="AC6" s="6">
        <v>26.92</v>
      </c>
      <c r="AD6" s="6">
        <v>26.92</v>
      </c>
      <c r="AE6" s="6">
        <v>26.92</v>
      </c>
      <c r="AF6" s="6">
        <v>26.92</v>
      </c>
      <c r="AG6" s="6">
        <v>26.92</v>
      </c>
      <c r="AH6" s="6">
        <v>26.92</v>
      </c>
      <c r="AI6" s="6">
        <v>26.92</v>
      </c>
      <c r="AJ6" s="6">
        <v>26.92</v>
      </c>
      <c r="AK6" s="6">
        <v>26.92</v>
      </c>
      <c r="AL6" s="6">
        <v>26.92</v>
      </c>
      <c r="AM6" s="6">
        <v>26.92</v>
      </c>
      <c r="AN6" s="6">
        <v>26.92</v>
      </c>
    </row>
    <row r="7" spans="1:41" s="9" customFormat="1" x14ac:dyDescent="0.35">
      <c r="A7" s="7" t="s">
        <v>13</v>
      </c>
      <c r="B7" s="8">
        <f>B22</f>
        <v>19</v>
      </c>
      <c r="C7" s="24">
        <f>B7</f>
        <v>19</v>
      </c>
      <c r="D7" s="8">
        <f>(B7+F7)/2</f>
        <v>19.234999999999999</v>
      </c>
      <c r="E7" s="24">
        <f>D7</f>
        <v>19.234999999999999</v>
      </c>
      <c r="F7" s="8">
        <f>D22</f>
        <v>19.47</v>
      </c>
      <c r="G7" s="24">
        <f>F7</f>
        <v>19.47</v>
      </c>
      <c r="H7" s="8">
        <f>(F7+J7)/2</f>
        <v>19.96</v>
      </c>
      <c r="I7" s="24">
        <f>H7</f>
        <v>19.96</v>
      </c>
      <c r="J7" s="8">
        <f>F22</f>
        <v>20.45</v>
      </c>
      <c r="K7" s="24">
        <f>J7</f>
        <v>20.45</v>
      </c>
      <c r="L7" s="8">
        <f>(J7+N7)/2</f>
        <v>21.344999999999999</v>
      </c>
      <c r="M7" s="24">
        <f>L7</f>
        <v>21.344999999999999</v>
      </c>
      <c r="N7" s="8">
        <f>H22</f>
        <v>22.24</v>
      </c>
      <c r="O7" s="24">
        <f>N7</f>
        <v>22.24</v>
      </c>
      <c r="P7" s="8">
        <f>(N7+R7)/2</f>
        <v>23.085000000000001</v>
      </c>
      <c r="Q7" s="24">
        <f>P7</f>
        <v>23.085000000000001</v>
      </c>
      <c r="R7" s="26">
        <f>L22</f>
        <v>23.93</v>
      </c>
      <c r="S7" s="8">
        <f>N22</f>
        <v>24.4</v>
      </c>
      <c r="T7" s="8">
        <f>P22</f>
        <v>24.4</v>
      </c>
      <c r="U7" s="8">
        <f t="shared" ref="U7:AN7" si="0">R22</f>
        <v>24.4</v>
      </c>
      <c r="V7" s="8">
        <f t="shared" si="0"/>
        <v>24.4</v>
      </c>
      <c r="W7" s="8">
        <f t="shared" si="0"/>
        <v>24.187096774193549</v>
      </c>
      <c r="X7" s="8">
        <f t="shared" si="0"/>
        <v>23.993548387096773</v>
      </c>
      <c r="Y7" s="8">
        <f t="shared" si="0"/>
        <v>23.8</v>
      </c>
      <c r="Z7" s="8">
        <f t="shared" si="0"/>
        <v>23.336428571428574</v>
      </c>
      <c r="AA7" s="8">
        <f t="shared" si="0"/>
        <v>22.914999999999999</v>
      </c>
      <c r="AB7" s="8">
        <f t="shared" si="0"/>
        <v>22.62</v>
      </c>
      <c r="AC7" s="8">
        <f t="shared" si="0"/>
        <v>22.11967741935484</v>
      </c>
      <c r="AD7" s="8">
        <f t="shared" si="0"/>
        <v>21.664838709677419</v>
      </c>
      <c r="AE7" s="8">
        <f t="shared" si="0"/>
        <v>21.21</v>
      </c>
      <c r="AF7" s="8">
        <f t="shared" si="0"/>
        <v>20.843333333333334</v>
      </c>
      <c r="AG7" s="8">
        <f t="shared" si="0"/>
        <v>20.51</v>
      </c>
      <c r="AH7" s="8">
        <f t="shared" si="0"/>
        <v>20.21</v>
      </c>
      <c r="AI7" s="8">
        <f t="shared" si="0"/>
        <v>20.025483870967744</v>
      </c>
      <c r="AJ7" s="8">
        <f t="shared" si="0"/>
        <v>19.857741935483872</v>
      </c>
      <c r="AK7" s="8">
        <f t="shared" si="0"/>
        <v>19.690000000000001</v>
      </c>
      <c r="AL7" s="8">
        <f t="shared" si="0"/>
        <v>19.437000000000001</v>
      </c>
      <c r="AM7" s="8">
        <f t="shared" si="0"/>
        <v>19.207000000000001</v>
      </c>
      <c r="AN7" s="8">
        <f t="shared" si="0"/>
        <v>19</v>
      </c>
    </row>
    <row r="8" spans="1:41" s="9" customFormat="1" x14ac:dyDescent="0.35">
      <c r="A8" s="7" t="s">
        <v>14</v>
      </c>
      <c r="B8" s="8">
        <f>B23</f>
        <v>17</v>
      </c>
      <c r="C8" s="24">
        <f>B8</f>
        <v>17</v>
      </c>
      <c r="D8" s="8">
        <f>(B8+F8)/2</f>
        <v>17.164999999999999</v>
      </c>
      <c r="E8" s="24">
        <f>D8</f>
        <v>17.164999999999999</v>
      </c>
      <c r="F8" s="8">
        <f>D23</f>
        <v>17.329999999999998</v>
      </c>
      <c r="G8" s="24">
        <f>F8</f>
        <v>17.329999999999998</v>
      </c>
      <c r="H8" s="8">
        <f>(F8+J8)/2</f>
        <v>17.564999999999998</v>
      </c>
      <c r="I8" s="24">
        <f>H8</f>
        <v>17.564999999999998</v>
      </c>
      <c r="J8" s="8">
        <f>F23</f>
        <v>17.8</v>
      </c>
      <c r="K8" s="24">
        <f>J8</f>
        <v>17.8</v>
      </c>
      <c r="L8" s="8">
        <f>(J8+N8)/2</f>
        <v>18.68</v>
      </c>
      <c r="M8" s="24">
        <f>L8</f>
        <v>18.68</v>
      </c>
      <c r="N8" s="8">
        <f>H23</f>
        <v>19.559999999999999</v>
      </c>
      <c r="O8" s="24">
        <f>N8</f>
        <v>19.559999999999999</v>
      </c>
      <c r="P8" s="8">
        <f>(N8+R8)/2</f>
        <v>20.38</v>
      </c>
      <c r="Q8" s="24">
        <f>P8</f>
        <v>20.38</v>
      </c>
      <c r="R8" s="26">
        <f>L23</f>
        <v>21.2</v>
      </c>
      <c r="S8" s="24">
        <v>21.67</v>
      </c>
      <c r="T8" s="24">
        <v>21.6</v>
      </c>
      <c r="U8" s="24">
        <v>21.55</v>
      </c>
      <c r="V8" s="24">
        <v>21.5</v>
      </c>
      <c r="W8" s="24">
        <v>21.21</v>
      </c>
      <c r="X8" s="24">
        <v>21.03</v>
      </c>
      <c r="Y8" s="24">
        <v>20.81</v>
      </c>
      <c r="Z8" s="24">
        <v>20.51</v>
      </c>
      <c r="AA8" s="24">
        <v>20.21</v>
      </c>
      <c r="AB8" s="24">
        <v>19.97</v>
      </c>
      <c r="AC8" s="24">
        <v>19.46</v>
      </c>
      <c r="AD8" s="24">
        <v>19.03</v>
      </c>
      <c r="AE8" s="24">
        <v>18.59</v>
      </c>
      <c r="AF8" s="24">
        <v>18.28</v>
      </c>
      <c r="AG8" s="24">
        <v>17.98</v>
      </c>
      <c r="AH8" s="24">
        <v>17.7</v>
      </c>
      <c r="AI8" s="24">
        <v>17.48</v>
      </c>
      <c r="AJ8" s="24">
        <v>17.45</v>
      </c>
      <c r="AK8" s="24">
        <v>17.399999999999999</v>
      </c>
      <c r="AL8" s="24">
        <v>17.38</v>
      </c>
      <c r="AM8" s="24">
        <v>17.350000000000001</v>
      </c>
      <c r="AN8" s="24">
        <v>17</v>
      </c>
      <c r="AO8" s="9" t="s">
        <v>41</v>
      </c>
    </row>
    <row r="9" spans="1:41" x14ac:dyDescent="0.35">
      <c r="A9" s="3" t="s">
        <v>18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24.4</v>
      </c>
      <c r="T9" s="6">
        <v>24.24</v>
      </c>
      <c r="U9" s="6">
        <v>24.09</v>
      </c>
      <c r="V9" s="6">
        <v>23.93</v>
      </c>
      <c r="W9" s="6">
        <v>23.62</v>
      </c>
      <c r="X9" s="6">
        <v>23.3</v>
      </c>
      <c r="Y9" s="6">
        <v>22.99</v>
      </c>
      <c r="Z9" s="6">
        <v>22.64</v>
      </c>
      <c r="AA9" s="6">
        <v>22.28</v>
      </c>
      <c r="AB9" s="6">
        <v>21.93</v>
      </c>
      <c r="AC9" s="6">
        <v>21.55</v>
      </c>
      <c r="AD9" s="6">
        <v>21.26</v>
      </c>
      <c r="AE9" s="6">
        <v>20.78</v>
      </c>
      <c r="AF9" s="6">
        <v>20.51</v>
      </c>
      <c r="AG9" s="6">
        <v>20.23</v>
      </c>
      <c r="AH9" s="6">
        <v>19.96</v>
      </c>
      <c r="AI9" s="6">
        <v>19.78</v>
      </c>
      <c r="AJ9" s="6">
        <v>19.61</v>
      </c>
      <c r="AK9" s="6">
        <v>19.43</v>
      </c>
      <c r="AL9" s="6">
        <v>19.22</v>
      </c>
      <c r="AM9" s="6">
        <v>19</v>
      </c>
      <c r="AN9" s="6">
        <v>19</v>
      </c>
    </row>
    <row r="10" spans="1:41" x14ac:dyDescent="0.35">
      <c r="A10" s="3" t="s">
        <v>19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24">
        <v>21.67</v>
      </c>
      <c r="T10" s="24">
        <v>21.6</v>
      </c>
      <c r="U10" s="24">
        <v>21.55</v>
      </c>
      <c r="V10" s="24">
        <v>21.5</v>
      </c>
      <c r="W10" s="24">
        <v>21.21</v>
      </c>
      <c r="X10" s="24">
        <v>21.03</v>
      </c>
      <c r="Y10" s="24">
        <v>20.81</v>
      </c>
      <c r="Z10" s="24">
        <v>20.51</v>
      </c>
      <c r="AA10" s="24">
        <v>20.21</v>
      </c>
      <c r="AB10" s="24">
        <v>19.97</v>
      </c>
      <c r="AC10" s="24">
        <v>19.46</v>
      </c>
      <c r="AD10" s="24">
        <v>19.03</v>
      </c>
      <c r="AE10" s="24">
        <v>18.59</v>
      </c>
      <c r="AF10" s="24">
        <v>18.28</v>
      </c>
      <c r="AG10" s="24">
        <v>17.98</v>
      </c>
      <c r="AH10" s="24">
        <v>17.7</v>
      </c>
      <c r="AI10" s="24">
        <v>17.48</v>
      </c>
      <c r="AJ10" s="24">
        <v>17.45</v>
      </c>
      <c r="AK10" s="24">
        <v>17.399999999999999</v>
      </c>
      <c r="AL10" s="24">
        <v>17.38</v>
      </c>
      <c r="AM10" s="24">
        <v>17.350000000000001</v>
      </c>
      <c r="AN10" s="24">
        <v>17</v>
      </c>
    </row>
    <row r="11" spans="1:41" x14ac:dyDescent="0.35">
      <c r="A11" s="3"/>
      <c r="B11" s="30">
        <v>41456</v>
      </c>
      <c r="C11" s="30">
        <v>41470</v>
      </c>
      <c r="D11" s="30">
        <v>41471</v>
      </c>
      <c r="E11" s="30">
        <v>41486</v>
      </c>
      <c r="F11" s="30">
        <v>41487</v>
      </c>
      <c r="G11" s="30">
        <v>41501</v>
      </c>
      <c r="H11" s="30">
        <v>41502</v>
      </c>
      <c r="I11" s="30">
        <v>41517</v>
      </c>
      <c r="J11" s="30">
        <v>41518</v>
      </c>
      <c r="K11" s="30">
        <v>41532</v>
      </c>
      <c r="L11" s="30">
        <v>41533</v>
      </c>
      <c r="M11" s="30">
        <v>41547</v>
      </c>
      <c r="N11" s="30">
        <v>41548</v>
      </c>
      <c r="O11" s="30">
        <v>41562</v>
      </c>
      <c r="P11" s="30">
        <v>41563</v>
      </c>
      <c r="Q11" s="30">
        <v>41577</v>
      </c>
      <c r="R11" s="4"/>
      <c r="S11" s="4"/>
      <c r="T11" s="4"/>
      <c r="U11" s="4"/>
      <c r="V11" s="4"/>
      <c r="W11" s="4"/>
      <c r="X11" s="4"/>
      <c r="Y11" s="4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spans="1:41" x14ac:dyDescent="0.35">
      <c r="A12" s="3" t="s">
        <v>20</v>
      </c>
      <c r="B12" s="31">
        <v>20.3</v>
      </c>
      <c r="C12" s="31">
        <v>20.3</v>
      </c>
      <c r="D12" s="31">
        <v>21.2</v>
      </c>
      <c r="E12" s="31">
        <v>21.2</v>
      </c>
      <c r="F12" s="31">
        <v>22.1</v>
      </c>
      <c r="G12" s="31">
        <v>22.1</v>
      </c>
      <c r="H12" s="31">
        <v>22.7</v>
      </c>
      <c r="I12" s="31">
        <v>22.7</v>
      </c>
      <c r="J12" s="31">
        <v>23.3</v>
      </c>
      <c r="K12" s="31">
        <v>23.3</v>
      </c>
      <c r="L12" s="31">
        <v>23.65</v>
      </c>
      <c r="M12" s="31">
        <v>23.65</v>
      </c>
      <c r="N12" s="31">
        <v>24</v>
      </c>
      <c r="O12" s="31">
        <v>24</v>
      </c>
      <c r="P12" s="31">
        <v>24.4</v>
      </c>
      <c r="Q12" s="31">
        <v>24.4</v>
      </c>
    </row>
    <row r="13" spans="1:41" x14ac:dyDescent="0.35">
      <c r="A13" s="11" t="s">
        <v>23</v>
      </c>
      <c r="B13" s="4">
        <v>41456</v>
      </c>
      <c r="C13" s="4"/>
      <c r="D13" s="4">
        <v>41471</v>
      </c>
      <c r="E13" s="4"/>
      <c r="F13" s="4">
        <v>41487</v>
      </c>
      <c r="G13" s="4"/>
      <c r="H13" s="4">
        <v>41502</v>
      </c>
      <c r="I13" s="4"/>
      <c r="J13" s="4">
        <v>41518</v>
      </c>
      <c r="K13" s="4"/>
      <c r="L13" s="4">
        <v>41533</v>
      </c>
      <c r="M13" s="4"/>
      <c r="N13" s="4">
        <v>41548</v>
      </c>
      <c r="O13" s="4"/>
      <c r="P13" s="4">
        <v>41563</v>
      </c>
      <c r="Q13" s="4"/>
      <c r="R13" s="4">
        <v>41579</v>
      </c>
      <c r="S13" s="4">
        <v>41609</v>
      </c>
      <c r="U13" s="4">
        <v>41629</v>
      </c>
      <c r="V13" s="4">
        <v>41640</v>
      </c>
      <c r="W13" s="4">
        <v>41671</v>
      </c>
      <c r="X13" s="4">
        <v>41699</v>
      </c>
      <c r="Y13" s="4">
        <v>41730</v>
      </c>
      <c r="Z13" s="4">
        <v>41760</v>
      </c>
      <c r="AA13" s="4">
        <v>41791</v>
      </c>
      <c r="AB13" s="4">
        <v>41820</v>
      </c>
    </row>
    <row r="14" spans="1:41" x14ac:dyDescent="0.35">
      <c r="A14" s="12" t="s">
        <v>13</v>
      </c>
      <c r="B14" s="6">
        <v>17</v>
      </c>
      <c r="C14" s="6"/>
      <c r="D14" s="6">
        <v>17.186386028892755</v>
      </c>
      <c r="E14" s="6"/>
      <c r="F14" s="6">
        <v>17.372772057785514</v>
      </c>
      <c r="G14" s="6"/>
      <c r="H14" s="6">
        <v>18.478211729765917</v>
      </c>
      <c r="I14" s="6"/>
      <c r="J14" s="6">
        <v>19.583651401746316</v>
      </c>
      <c r="K14" s="6"/>
      <c r="L14" s="6">
        <v>20.934804155714801</v>
      </c>
      <c r="M14" s="6"/>
      <c r="N14" s="6">
        <v>22.285956909683282</v>
      </c>
      <c r="O14" s="6"/>
      <c r="P14" s="6">
        <v>23.738706091549833</v>
      </c>
      <c r="Q14" s="6"/>
      <c r="R14" s="6">
        <v>24.222955818838685</v>
      </c>
      <c r="S14" s="6">
        <v>24.4</v>
      </c>
      <c r="U14" s="6">
        <v>24.319550105515923</v>
      </c>
      <c r="V14" s="6">
        <v>24.239100211031843</v>
      </c>
      <c r="W14" s="6">
        <v>23.134329306975559</v>
      </c>
      <c r="X14" s="6">
        <v>21.582045572858227</v>
      </c>
      <c r="Y14" s="6">
        <v>18.968949707249561</v>
      </c>
      <c r="Z14" s="6">
        <v>17.669967243144374</v>
      </c>
      <c r="AA14" s="6">
        <v>17.62552631024851</v>
      </c>
      <c r="AB14" s="6">
        <v>17</v>
      </c>
    </row>
    <row r="15" spans="1:41" x14ac:dyDescent="0.35">
      <c r="A15" s="12" t="s">
        <v>14</v>
      </c>
      <c r="B15" s="6">
        <v>17</v>
      </c>
      <c r="C15" s="6"/>
      <c r="D15" s="6">
        <v>17</v>
      </c>
      <c r="E15" s="6"/>
      <c r="F15" s="6">
        <v>17</v>
      </c>
      <c r="G15" s="6"/>
      <c r="H15" s="6">
        <v>17.411280629233431</v>
      </c>
      <c r="I15" s="6"/>
      <c r="J15" s="6">
        <v>17.822561258466866</v>
      </c>
      <c r="K15" s="6"/>
      <c r="L15" s="6">
        <v>18.946832344979228</v>
      </c>
      <c r="M15" s="6"/>
      <c r="N15" s="6">
        <v>20.071103431491586</v>
      </c>
      <c r="O15" s="6"/>
      <c r="P15" s="6">
        <v>21.41591301719302</v>
      </c>
      <c r="Q15" s="6"/>
      <c r="R15" s="6">
        <v>21.864182879093502</v>
      </c>
      <c r="S15" s="6">
        <v>24.031931239545596</v>
      </c>
      <c r="U15" s="6">
        <v>23.613106143765989</v>
      </c>
      <c r="V15" s="6">
        <v>23.194281047986387</v>
      </c>
      <c r="W15" s="6">
        <v>21.966008647123115</v>
      </c>
      <c r="X15" s="6">
        <v>20.207620102652839</v>
      </c>
      <c r="Y15" s="6">
        <v>17.228229185207191</v>
      </c>
      <c r="Z15" s="6">
        <v>17</v>
      </c>
      <c r="AA15" s="6">
        <v>17</v>
      </c>
      <c r="AB15" s="6">
        <v>17</v>
      </c>
    </row>
    <row r="17" spans="1:37" ht="13.9" x14ac:dyDescent="0.35">
      <c r="A17" s="11" t="s">
        <v>40</v>
      </c>
      <c r="B17" s="4">
        <v>41456</v>
      </c>
      <c r="C17" s="4"/>
      <c r="D17" s="4">
        <v>41470</v>
      </c>
      <c r="E17" s="4"/>
      <c r="F17" s="4">
        <v>41487</v>
      </c>
      <c r="G17" s="4"/>
      <c r="H17" s="4">
        <v>41501</v>
      </c>
      <c r="I17" s="4"/>
      <c r="J17" s="4">
        <v>41518</v>
      </c>
      <c r="K17" s="4"/>
      <c r="L17" s="4">
        <v>41532</v>
      </c>
      <c r="M17" s="4"/>
      <c r="N17" s="4">
        <v>41548</v>
      </c>
      <c r="O17" s="4"/>
      <c r="P17" s="4">
        <v>41566</v>
      </c>
      <c r="Q17" s="4"/>
      <c r="R17" s="4">
        <v>41579</v>
      </c>
      <c r="S17" s="4">
        <v>41609</v>
      </c>
      <c r="U17" s="4">
        <v>41629</v>
      </c>
      <c r="V17" s="4">
        <v>41640</v>
      </c>
      <c r="W17" s="4">
        <v>41671</v>
      </c>
      <c r="X17" s="4">
        <v>41699</v>
      </c>
      <c r="Y17" s="4">
        <v>41730</v>
      </c>
      <c r="Z17" s="4">
        <v>41760</v>
      </c>
      <c r="AA17" s="4">
        <v>41791</v>
      </c>
      <c r="AB17" s="4">
        <v>41820</v>
      </c>
    </row>
    <row r="18" spans="1:37" x14ac:dyDescent="0.35">
      <c r="A18" s="12" t="s">
        <v>13</v>
      </c>
      <c r="B18" s="6">
        <v>17</v>
      </c>
      <c r="C18" s="6"/>
      <c r="D18" s="6">
        <v>17.201082189026565</v>
      </c>
      <c r="E18" s="6"/>
      <c r="F18" s="6">
        <v>17.402164378053126</v>
      </c>
      <c r="G18" s="6"/>
      <c r="H18" s="6">
        <v>18.51436727263734</v>
      </c>
      <c r="I18" s="6"/>
      <c r="J18" s="6">
        <v>19.626570167221555</v>
      </c>
      <c r="K18" s="6"/>
      <c r="L18" s="6">
        <v>20.982259425945998</v>
      </c>
      <c r="M18" s="6"/>
      <c r="N18" s="6">
        <v>22.33794868467044</v>
      </c>
      <c r="O18" s="6"/>
      <c r="P18" s="6">
        <v>23.807261637516774</v>
      </c>
      <c r="Q18" s="6"/>
      <c r="R18" s="6">
        <v>24.297032621798884</v>
      </c>
      <c r="S18" s="6">
        <v>24.4</v>
      </c>
      <c r="U18" s="6">
        <v>24.189721552781862</v>
      </c>
      <c r="V18" s="6">
        <v>23.979443105563721</v>
      </c>
      <c r="W18" s="6">
        <v>22.962367220684765</v>
      </c>
      <c r="X18" s="6">
        <v>21.533086384457608</v>
      </c>
      <c r="Y18" s="6">
        <v>18.92508672332448</v>
      </c>
      <c r="Z18" s="6">
        <v>17.636563828216854</v>
      </c>
      <c r="AA18" s="6">
        <v>17.609131754588155</v>
      </c>
      <c r="AB18" s="6">
        <v>17</v>
      </c>
    </row>
    <row r="19" spans="1:37" x14ac:dyDescent="0.35">
      <c r="A19" s="12" t="s">
        <v>14</v>
      </c>
      <c r="B19" s="6">
        <v>17</v>
      </c>
      <c r="C19" s="6"/>
      <c r="D19" s="6">
        <v>17</v>
      </c>
      <c r="E19" s="6"/>
      <c r="F19" s="6">
        <v>17</v>
      </c>
      <c r="G19" s="6"/>
      <c r="H19" s="6">
        <v>17.423703193068206</v>
      </c>
      <c r="I19" s="6"/>
      <c r="J19" s="6">
        <v>17.847406386136409</v>
      </c>
      <c r="K19" s="6"/>
      <c r="L19" s="6">
        <v>18.990036916218244</v>
      </c>
      <c r="M19" s="6"/>
      <c r="N19" s="6">
        <v>20.132667446300083</v>
      </c>
      <c r="O19" s="6"/>
      <c r="P19" s="6">
        <v>21.497961582667237</v>
      </c>
      <c r="Q19" s="6"/>
      <c r="R19" s="6">
        <v>21.953059628122954</v>
      </c>
      <c r="S19" s="6">
        <v>23.677096772352371</v>
      </c>
      <c r="U19" s="6">
        <v>23.284228845498916</v>
      </c>
      <c r="V19" s="6">
        <v>22.891360918645461</v>
      </c>
      <c r="W19" s="6">
        <v>21.743236714538021</v>
      </c>
      <c r="X19" s="6">
        <v>20.172560979691792</v>
      </c>
      <c r="Y19" s="6">
        <v>17.189237070485728</v>
      </c>
      <c r="Z19" s="6">
        <v>17</v>
      </c>
      <c r="AA19" s="6">
        <v>17</v>
      </c>
      <c r="AB19" s="6">
        <v>17</v>
      </c>
    </row>
    <row r="21" spans="1:37" x14ac:dyDescent="0.35">
      <c r="B21" s="4">
        <v>41456</v>
      </c>
      <c r="C21" s="4"/>
      <c r="D21" s="4">
        <v>41487</v>
      </c>
      <c r="E21" s="4"/>
      <c r="F21" s="4">
        <v>41518</v>
      </c>
      <c r="G21" s="4"/>
      <c r="H21" s="4">
        <v>41548</v>
      </c>
      <c r="I21" s="4"/>
      <c r="J21" s="4">
        <v>41563</v>
      </c>
      <c r="K21" s="4"/>
      <c r="L21" s="4">
        <v>41579</v>
      </c>
      <c r="M21" s="4"/>
      <c r="N21" s="4">
        <v>41609</v>
      </c>
      <c r="O21" s="4"/>
      <c r="P21" s="4">
        <v>41619</v>
      </c>
      <c r="Q21" s="4"/>
      <c r="R21" s="4">
        <v>41629</v>
      </c>
      <c r="S21" s="4">
        <v>41640</v>
      </c>
      <c r="T21" s="4">
        <v>41650</v>
      </c>
      <c r="U21" s="4">
        <v>41660</v>
      </c>
      <c r="V21" s="4">
        <v>41671</v>
      </c>
      <c r="W21" s="4">
        <v>41681</v>
      </c>
      <c r="X21" s="4">
        <v>41691</v>
      </c>
      <c r="Y21" s="4">
        <v>41699</v>
      </c>
      <c r="Z21" s="4">
        <v>41709</v>
      </c>
      <c r="AA21" s="4">
        <v>41719</v>
      </c>
      <c r="AB21" s="4">
        <v>41730</v>
      </c>
      <c r="AC21" s="4">
        <v>41740</v>
      </c>
      <c r="AD21" s="4">
        <v>41750</v>
      </c>
      <c r="AE21" s="4">
        <v>41760</v>
      </c>
      <c r="AF21" s="4">
        <v>41770</v>
      </c>
      <c r="AG21" s="4">
        <v>41780</v>
      </c>
      <c r="AH21" s="4">
        <v>41791</v>
      </c>
      <c r="AI21" s="4">
        <v>41801</v>
      </c>
      <c r="AJ21" s="4">
        <v>41811</v>
      </c>
      <c r="AK21" s="4">
        <v>41821</v>
      </c>
    </row>
    <row r="22" spans="1:37" x14ac:dyDescent="0.35">
      <c r="A22" s="13" t="s">
        <v>24</v>
      </c>
      <c r="B22" s="14">
        <v>19</v>
      </c>
      <c r="C22" s="14"/>
      <c r="D22" s="15">
        <v>19.47</v>
      </c>
      <c r="E22" s="15"/>
      <c r="F22" s="15">
        <v>20.45</v>
      </c>
      <c r="G22" s="15"/>
      <c r="H22" s="15">
        <v>22.24</v>
      </c>
      <c r="I22" s="15"/>
      <c r="J22" s="15">
        <v>23.3</v>
      </c>
      <c r="K22" s="15"/>
      <c r="L22" s="14">
        <v>23.93</v>
      </c>
      <c r="M22" s="14"/>
      <c r="N22" s="14">
        <v>24.4</v>
      </c>
      <c r="O22" s="14"/>
      <c r="P22" s="15">
        <f>N22+11*(S22-N22)/31</f>
        <v>24.4</v>
      </c>
      <c r="Q22" s="15"/>
      <c r="R22" s="15">
        <f>N22+21*(S22-N22)/31</f>
        <v>24.4</v>
      </c>
      <c r="S22" s="14">
        <v>24.4</v>
      </c>
      <c r="T22" s="15">
        <f>S22+11*(V22-S22)/31</f>
        <v>24.187096774193549</v>
      </c>
      <c r="U22" s="15">
        <f>S22+21*(V22-S22)/31</f>
        <v>23.993548387096773</v>
      </c>
      <c r="V22" s="14">
        <v>23.8</v>
      </c>
      <c r="W22" s="15">
        <f>V22+11*(Y22-V22)/28</f>
        <v>23.336428571428574</v>
      </c>
      <c r="X22" s="15">
        <f>V22+21*(Y22-V22)/28</f>
        <v>22.914999999999999</v>
      </c>
      <c r="Y22" s="14">
        <v>22.62</v>
      </c>
      <c r="Z22" s="15">
        <f>Y22+11*(AB22-Y22)/31</f>
        <v>22.11967741935484</v>
      </c>
      <c r="AA22" s="15">
        <f>Y22+21*(AB22-Y22)/31</f>
        <v>21.664838709677419</v>
      </c>
      <c r="AB22" s="14">
        <v>21.21</v>
      </c>
      <c r="AC22" s="15">
        <f>AB22+11*(AE22-AB22)/30</f>
        <v>20.843333333333334</v>
      </c>
      <c r="AD22" s="15">
        <f>AB22+21*(AE22-AB22)/30</f>
        <v>20.51</v>
      </c>
      <c r="AE22" s="14">
        <v>20.21</v>
      </c>
      <c r="AF22" s="15">
        <f>AE22+11*(AH22-AE22)/31</f>
        <v>20.025483870967744</v>
      </c>
      <c r="AG22" s="15">
        <f>AE22+21*(AH22-AE22)/31</f>
        <v>19.857741935483872</v>
      </c>
      <c r="AH22" s="14">
        <v>19.690000000000001</v>
      </c>
      <c r="AI22" s="15">
        <f>AH22+11*(AK22-AH22)/30</f>
        <v>19.437000000000001</v>
      </c>
      <c r="AJ22" s="15">
        <f>AH22+21*(AK22-AH22)/30</f>
        <v>19.207000000000001</v>
      </c>
      <c r="AK22" s="14">
        <v>19</v>
      </c>
    </row>
    <row r="23" spans="1:37" x14ac:dyDescent="0.35">
      <c r="A23" s="16" t="s">
        <v>25</v>
      </c>
      <c r="B23" s="17">
        <v>17</v>
      </c>
      <c r="C23" s="17"/>
      <c r="D23" s="17">
        <v>17.329999999999998</v>
      </c>
      <c r="E23" s="17"/>
      <c r="F23" s="17">
        <v>17.8</v>
      </c>
      <c r="G23" s="17"/>
      <c r="H23" s="17">
        <v>19.559999999999999</v>
      </c>
      <c r="I23" s="17"/>
      <c r="J23" s="17">
        <v>20.38</v>
      </c>
      <c r="K23" s="17"/>
      <c r="L23" s="17">
        <v>21.2</v>
      </c>
      <c r="M23" s="17"/>
      <c r="N23" s="17">
        <v>22.14</v>
      </c>
      <c r="O23" s="17"/>
      <c r="P23" s="18">
        <f>N23+11*(S23-N23)/31</f>
        <v>22.154193548387099</v>
      </c>
      <c r="Q23" s="18"/>
      <c r="R23" s="18">
        <f>N23+21*(S23-N23)/31</f>
        <v>22.167096774193549</v>
      </c>
      <c r="S23" s="17">
        <v>22.18</v>
      </c>
      <c r="T23" s="18">
        <f>S23+11*(V23-S23)/31</f>
        <v>21.871290322580645</v>
      </c>
      <c r="U23" s="18">
        <f>S23+21*(V23-S23)/31</f>
        <v>21.590645161290322</v>
      </c>
      <c r="V23" s="17">
        <v>21.31</v>
      </c>
      <c r="W23" s="18">
        <f>V23+11*(Y23-V23)/28</f>
        <v>20.842500000000001</v>
      </c>
      <c r="X23" s="18">
        <f>V23+21*(Y23-V23)/28</f>
        <v>20.4175</v>
      </c>
      <c r="Y23" s="17">
        <v>20.12</v>
      </c>
      <c r="Z23" s="18">
        <f>Y23+11*(AB23-Y23)/31</f>
        <v>19.566451612903226</v>
      </c>
      <c r="AA23" s="18">
        <f>Y23+21*(AB23-Y23)/31</f>
        <v>19.063225806451612</v>
      </c>
      <c r="AB23" s="17">
        <v>18.559999999999999</v>
      </c>
      <c r="AC23" s="18">
        <f>AB23+11*(AE23-AB23)/30</f>
        <v>18.186</v>
      </c>
      <c r="AD23" s="18">
        <f>AB23+21*(AE23-AB23)/30</f>
        <v>17.846</v>
      </c>
      <c r="AE23" s="17">
        <v>17.54</v>
      </c>
      <c r="AF23" s="18">
        <f>AE23+11*(AH23-AE23)/31</f>
        <v>17.401612903225807</v>
      </c>
      <c r="AG23" s="18">
        <f>AE23+21*(AH23-AE23)/31</f>
        <v>17.275806451612901</v>
      </c>
      <c r="AH23" s="17">
        <v>17.149999999999999</v>
      </c>
      <c r="AI23" s="18">
        <f>AH23+11*(AK23-AH23)/30</f>
        <v>17.094999999999999</v>
      </c>
      <c r="AJ23" s="18">
        <f>AH23+21*(AK23-AH23)/30</f>
        <v>17.044999999999998</v>
      </c>
      <c r="AK23" s="17">
        <v>17</v>
      </c>
    </row>
    <row r="26" spans="1:37" ht="60" customHeight="1" x14ac:dyDescent="0.35">
      <c r="A26" s="38" t="s">
        <v>29</v>
      </c>
      <c r="B26" s="35" t="s">
        <v>26</v>
      </c>
      <c r="C26" s="35"/>
      <c r="D26" s="35"/>
      <c r="E26" s="19"/>
      <c r="F26" s="35" t="s">
        <v>27</v>
      </c>
      <c r="G26" s="35"/>
      <c r="H26" s="35"/>
      <c r="I26" s="19"/>
      <c r="J26" s="35" t="s">
        <v>28</v>
      </c>
      <c r="K26" s="35"/>
      <c r="L26" s="35"/>
      <c r="M26" s="28"/>
    </row>
    <row r="27" spans="1:37" x14ac:dyDescent="0.35">
      <c r="A27" s="39"/>
      <c r="B27" s="20" t="s">
        <v>21</v>
      </c>
      <c r="C27" s="20"/>
      <c r="D27" s="20" t="s">
        <v>22</v>
      </c>
      <c r="E27" s="20"/>
      <c r="F27" s="20" t="s">
        <v>21</v>
      </c>
      <c r="G27" s="20"/>
      <c r="H27" s="20" t="s">
        <v>22</v>
      </c>
      <c r="I27" s="20"/>
      <c r="J27" s="20" t="s">
        <v>21</v>
      </c>
      <c r="K27" s="20"/>
      <c r="L27" s="20" t="s">
        <v>22</v>
      </c>
    </row>
    <row r="28" spans="1:37" x14ac:dyDescent="0.35">
      <c r="A28" s="21">
        <v>41456</v>
      </c>
      <c r="B28" s="22">
        <v>19</v>
      </c>
      <c r="C28" s="22"/>
      <c r="D28" s="22">
        <v>17</v>
      </c>
      <c r="E28" s="22"/>
      <c r="F28" s="20"/>
      <c r="G28" s="20"/>
      <c r="H28" s="20"/>
      <c r="I28" s="20"/>
      <c r="J28" s="22"/>
      <c r="K28" s="22"/>
      <c r="L28" s="22"/>
      <c r="M28" s="6"/>
      <c r="R28" s="8"/>
      <c r="S28" s="24"/>
    </row>
    <row r="29" spans="1:37" x14ac:dyDescent="0.35">
      <c r="A29" s="21">
        <v>41471</v>
      </c>
      <c r="B29" s="22">
        <v>19.234999999999999</v>
      </c>
      <c r="C29" s="22"/>
      <c r="D29" s="22">
        <v>17.164999999999999</v>
      </c>
      <c r="E29" s="22"/>
      <c r="F29" s="20"/>
      <c r="G29" s="20"/>
      <c r="H29" s="20"/>
      <c r="I29" s="20"/>
      <c r="J29" s="22"/>
      <c r="K29" s="22"/>
      <c r="L29" s="22"/>
      <c r="M29" s="6"/>
    </row>
    <row r="30" spans="1:37" x14ac:dyDescent="0.35">
      <c r="A30" s="21">
        <v>41487</v>
      </c>
      <c r="B30" s="22">
        <v>19.47</v>
      </c>
      <c r="C30" s="22"/>
      <c r="D30" s="22">
        <v>17.329999999999998</v>
      </c>
      <c r="E30" s="22"/>
      <c r="F30" s="20"/>
      <c r="G30" s="20"/>
      <c r="H30" s="20"/>
      <c r="I30" s="20"/>
      <c r="J30" s="22"/>
      <c r="K30" s="22"/>
      <c r="L30" s="22"/>
      <c r="M30" s="6"/>
    </row>
    <row r="31" spans="1:37" x14ac:dyDescent="0.35">
      <c r="A31" s="21">
        <v>41502</v>
      </c>
      <c r="B31" s="22">
        <v>19.96</v>
      </c>
      <c r="C31" s="22"/>
      <c r="D31" s="22">
        <v>17.565000000000001</v>
      </c>
      <c r="E31" s="22"/>
      <c r="F31" s="20"/>
      <c r="G31" s="20"/>
      <c r="H31" s="20"/>
      <c r="I31" s="20"/>
      <c r="J31" s="22"/>
      <c r="K31" s="22"/>
      <c r="L31" s="22"/>
      <c r="M31" s="6"/>
    </row>
    <row r="32" spans="1:37" x14ac:dyDescent="0.35">
      <c r="A32" s="21">
        <v>41518</v>
      </c>
      <c r="B32" s="22">
        <v>20.45</v>
      </c>
      <c r="C32" s="22"/>
      <c r="D32" s="22">
        <v>17.8</v>
      </c>
      <c r="E32" s="22"/>
      <c r="F32" s="20"/>
      <c r="G32" s="20"/>
      <c r="H32" s="20"/>
      <c r="I32" s="20"/>
      <c r="J32" s="22"/>
      <c r="K32" s="22"/>
      <c r="L32" s="22"/>
      <c r="M32" s="6"/>
    </row>
    <row r="33" spans="1:13" x14ac:dyDescent="0.35">
      <c r="A33" s="21">
        <v>41533</v>
      </c>
      <c r="B33" s="22">
        <v>21.344999999999999</v>
      </c>
      <c r="C33" s="22"/>
      <c r="D33" s="22">
        <v>18.68</v>
      </c>
      <c r="E33" s="22"/>
      <c r="F33" s="20"/>
      <c r="G33" s="20"/>
      <c r="H33" s="20"/>
      <c r="I33" s="20"/>
      <c r="J33" s="22"/>
      <c r="K33" s="22"/>
      <c r="L33" s="22"/>
      <c r="M33" s="6"/>
    </row>
    <row r="34" spans="1:13" x14ac:dyDescent="0.35">
      <c r="A34" s="21">
        <v>41548</v>
      </c>
      <c r="B34" s="22">
        <v>22.24</v>
      </c>
      <c r="C34" s="22"/>
      <c r="D34" s="22">
        <v>19.559999999999999</v>
      </c>
      <c r="E34" s="22"/>
      <c r="F34" s="20"/>
      <c r="G34" s="20"/>
      <c r="H34" s="20"/>
      <c r="I34" s="20"/>
      <c r="J34" s="22"/>
      <c r="K34" s="22"/>
      <c r="L34" s="22"/>
      <c r="M34" s="6"/>
    </row>
    <row r="35" spans="1:13" x14ac:dyDescent="0.35">
      <c r="A35" s="21">
        <v>41563</v>
      </c>
      <c r="B35" s="22">
        <v>23.085000000000001</v>
      </c>
      <c r="C35" s="22"/>
      <c r="D35" s="22">
        <v>20.38</v>
      </c>
      <c r="E35" s="22"/>
      <c r="F35" s="20"/>
      <c r="G35" s="20"/>
      <c r="H35" s="20"/>
      <c r="I35" s="20"/>
      <c r="J35" s="22"/>
      <c r="K35" s="22"/>
      <c r="L35" s="22"/>
      <c r="M35" s="6"/>
    </row>
    <row r="36" spans="1:13" x14ac:dyDescent="0.35">
      <c r="A36" s="21">
        <v>41579</v>
      </c>
      <c r="B36" s="22">
        <v>23.93</v>
      </c>
      <c r="C36" s="22"/>
      <c r="D36" s="22">
        <v>21.2</v>
      </c>
      <c r="E36" s="22"/>
      <c r="F36" s="20"/>
      <c r="G36" s="20"/>
      <c r="H36" s="20"/>
      <c r="I36" s="20"/>
      <c r="J36" s="22"/>
      <c r="K36" s="22"/>
      <c r="L36" s="22"/>
      <c r="M36" s="6"/>
    </row>
    <row r="37" spans="1:13" x14ac:dyDescent="0.35">
      <c r="A37" s="21">
        <v>41609</v>
      </c>
      <c r="B37" s="22">
        <v>24.4</v>
      </c>
      <c r="C37" s="22"/>
      <c r="D37" s="25">
        <v>21.67</v>
      </c>
      <c r="E37" s="25"/>
      <c r="F37" s="22">
        <v>24.4</v>
      </c>
      <c r="G37" s="22"/>
      <c r="H37" s="22">
        <v>21.67</v>
      </c>
      <c r="I37" s="22"/>
      <c r="J37" s="22">
        <f t="shared" ref="J37:J58" si="1">B37-F37</f>
        <v>0</v>
      </c>
      <c r="K37" s="22"/>
      <c r="L37" s="22">
        <f t="shared" ref="L37:L58" si="2">D37-H37</f>
        <v>0</v>
      </c>
      <c r="M37" s="6"/>
    </row>
    <row r="38" spans="1:13" x14ac:dyDescent="0.35">
      <c r="A38" s="21">
        <v>41619</v>
      </c>
      <c r="B38" s="22">
        <v>24.4</v>
      </c>
      <c r="C38" s="22"/>
      <c r="D38" s="25">
        <v>21.6</v>
      </c>
      <c r="E38" s="25"/>
      <c r="F38" s="22">
        <v>24.24</v>
      </c>
      <c r="G38" s="22"/>
      <c r="H38" s="22">
        <v>21.6</v>
      </c>
      <c r="I38" s="22"/>
      <c r="J38" s="22">
        <f t="shared" si="1"/>
        <v>0.16000000000000014</v>
      </c>
      <c r="K38" s="22"/>
      <c r="L38" s="22">
        <f t="shared" si="2"/>
        <v>0</v>
      </c>
      <c r="M38" s="6"/>
    </row>
    <row r="39" spans="1:13" x14ac:dyDescent="0.35">
      <c r="A39" s="21">
        <v>41629</v>
      </c>
      <c r="B39" s="22">
        <v>24.4</v>
      </c>
      <c r="C39" s="22"/>
      <c r="D39" s="25">
        <v>21.55</v>
      </c>
      <c r="E39" s="25"/>
      <c r="F39" s="22">
        <v>24.09</v>
      </c>
      <c r="G39" s="22"/>
      <c r="H39" s="22">
        <v>21.55</v>
      </c>
      <c r="I39" s="22"/>
      <c r="J39" s="22">
        <f t="shared" si="1"/>
        <v>0.30999999999999872</v>
      </c>
      <c r="K39" s="22"/>
      <c r="L39" s="22">
        <f t="shared" si="2"/>
        <v>0</v>
      </c>
      <c r="M39" s="6"/>
    </row>
    <row r="40" spans="1:13" x14ac:dyDescent="0.35">
      <c r="A40" s="21">
        <v>41640</v>
      </c>
      <c r="B40" s="22">
        <v>24.4</v>
      </c>
      <c r="C40" s="22"/>
      <c r="D40" s="25">
        <v>21.5</v>
      </c>
      <c r="E40" s="25"/>
      <c r="F40" s="22">
        <v>23.93</v>
      </c>
      <c r="G40" s="22"/>
      <c r="H40" s="22">
        <v>21.5</v>
      </c>
      <c r="I40" s="22"/>
      <c r="J40" s="22">
        <f t="shared" si="1"/>
        <v>0.46999999999999886</v>
      </c>
      <c r="K40" s="22"/>
      <c r="L40" s="22">
        <f t="shared" si="2"/>
        <v>0</v>
      </c>
      <c r="M40" s="6"/>
    </row>
    <row r="41" spans="1:13" x14ac:dyDescent="0.35">
      <c r="A41" s="21">
        <v>41650</v>
      </c>
      <c r="B41" s="22">
        <v>24.187096774193549</v>
      </c>
      <c r="C41" s="22"/>
      <c r="D41" s="25">
        <v>21.21</v>
      </c>
      <c r="E41" s="25"/>
      <c r="F41" s="22">
        <v>23.62</v>
      </c>
      <c r="G41" s="22"/>
      <c r="H41" s="22">
        <v>21.21</v>
      </c>
      <c r="I41" s="22"/>
      <c r="J41" s="22">
        <f t="shared" si="1"/>
        <v>0.56709677419354776</v>
      </c>
      <c r="K41" s="22"/>
      <c r="L41" s="22">
        <f t="shared" si="2"/>
        <v>0</v>
      </c>
      <c r="M41" s="6"/>
    </row>
    <row r="42" spans="1:13" x14ac:dyDescent="0.35">
      <c r="A42" s="21">
        <v>41660</v>
      </c>
      <c r="B42" s="22">
        <v>23.993548387096773</v>
      </c>
      <c r="C42" s="22"/>
      <c r="D42" s="25">
        <v>21.03</v>
      </c>
      <c r="E42" s="25"/>
      <c r="F42" s="22">
        <v>23.3</v>
      </c>
      <c r="G42" s="22"/>
      <c r="H42" s="22">
        <v>21.03</v>
      </c>
      <c r="I42" s="22"/>
      <c r="J42" s="22">
        <f t="shared" si="1"/>
        <v>0.69354838709677225</v>
      </c>
      <c r="K42" s="22"/>
      <c r="L42" s="22">
        <f t="shared" si="2"/>
        <v>0</v>
      </c>
      <c r="M42" s="6"/>
    </row>
    <row r="43" spans="1:13" x14ac:dyDescent="0.35">
      <c r="A43" s="21">
        <v>41671</v>
      </c>
      <c r="B43" s="22">
        <v>23.8</v>
      </c>
      <c r="C43" s="22"/>
      <c r="D43" s="25">
        <v>20.81</v>
      </c>
      <c r="E43" s="25"/>
      <c r="F43" s="22">
        <v>22.99</v>
      </c>
      <c r="G43" s="22"/>
      <c r="H43" s="22">
        <v>20.81</v>
      </c>
      <c r="I43" s="22"/>
      <c r="J43" s="22">
        <f t="shared" si="1"/>
        <v>0.81000000000000227</v>
      </c>
      <c r="K43" s="22"/>
      <c r="L43" s="22">
        <f t="shared" si="2"/>
        <v>0</v>
      </c>
      <c r="M43" s="6"/>
    </row>
    <row r="44" spans="1:13" x14ac:dyDescent="0.35">
      <c r="A44" s="21">
        <v>41681</v>
      </c>
      <c r="B44" s="22">
        <v>23.336428571428574</v>
      </c>
      <c r="C44" s="22"/>
      <c r="D44" s="25">
        <v>20.51</v>
      </c>
      <c r="E44" s="25"/>
      <c r="F44" s="22">
        <v>22.64</v>
      </c>
      <c r="G44" s="22"/>
      <c r="H44" s="22">
        <v>20.51</v>
      </c>
      <c r="I44" s="22"/>
      <c r="J44" s="22">
        <f t="shared" si="1"/>
        <v>0.69642857142857295</v>
      </c>
      <c r="K44" s="22"/>
      <c r="L44" s="22">
        <f t="shared" si="2"/>
        <v>0</v>
      </c>
      <c r="M44" s="6"/>
    </row>
    <row r="45" spans="1:13" x14ac:dyDescent="0.35">
      <c r="A45" s="21">
        <v>41691</v>
      </c>
      <c r="B45" s="22">
        <v>22.914999999999999</v>
      </c>
      <c r="C45" s="22"/>
      <c r="D45" s="25">
        <v>20.21</v>
      </c>
      <c r="E45" s="25"/>
      <c r="F45" s="22">
        <v>22.28</v>
      </c>
      <c r="G45" s="22"/>
      <c r="H45" s="22">
        <v>20.21</v>
      </c>
      <c r="I45" s="22"/>
      <c r="J45" s="22">
        <f t="shared" si="1"/>
        <v>0.63499999999999801</v>
      </c>
      <c r="K45" s="22"/>
      <c r="L45" s="22">
        <f t="shared" si="2"/>
        <v>0</v>
      </c>
      <c r="M45" s="6"/>
    </row>
    <row r="46" spans="1:13" x14ac:dyDescent="0.35">
      <c r="A46" s="21">
        <v>41699</v>
      </c>
      <c r="B46" s="22">
        <v>22.62</v>
      </c>
      <c r="C46" s="22"/>
      <c r="D46" s="25">
        <v>19.97</v>
      </c>
      <c r="E46" s="25"/>
      <c r="F46" s="22">
        <v>21.93</v>
      </c>
      <c r="G46" s="22"/>
      <c r="H46" s="22">
        <v>19.97</v>
      </c>
      <c r="I46" s="22"/>
      <c r="J46" s="22">
        <f t="shared" si="1"/>
        <v>0.69000000000000128</v>
      </c>
      <c r="K46" s="22"/>
      <c r="L46" s="22">
        <f t="shared" si="2"/>
        <v>0</v>
      </c>
      <c r="M46" s="6"/>
    </row>
    <row r="47" spans="1:13" x14ac:dyDescent="0.35">
      <c r="A47" s="21">
        <v>41709</v>
      </c>
      <c r="B47" s="22">
        <v>22.11967741935484</v>
      </c>
      <c r="C47" s="22"/>
      <c r="D47" s="25">
        <v>19.46</v>
      </c>
      <c r="E47" s="25"/>
      <c r="F47" s="22">
        <v>21.55</v>
      </c>
      <c r="G47" s="22"/>
      <c r="H47" s="22">
        <v>19.46</v>
      </c>
      <c r="I47" s="22"/>
      <c r="J47" s="22">
        <f t="shared" si="1"/>
        <v>0.56967741935483929</v>
      </c>
      <c r="K47" s="22"/>
      <c r="L47" s="22">
        <f t="shared" si="2"/>
        <v>0</v>
      </c>
      <c r="M47" s="6"/>
    </row>
    <row r="48" spans="1:13" x14ac:dyDescent="0.35">
      <c r="A48" s="21">
        <v>41719</v>
      </c>
      <c r="B48" s="22">
        <v>21.664838709677419</v>
      </c>
      <c r="C48" s="22"/>
      <c r="D48" s="25">
        <v>19.03</v>
      </c>
      <c r="E48" s="25"/>
      <c r="F48" s="22">
        <v>21.26</v>
      </c>
      <c r="G48" s="22"/>
      <c r="H48" s="22">
        <v>19.03</v>
      </c>
      <c r="I48" s="22"/>
      <c r="J48" s="22">
        <f t="shared" si="1"/>
        <v>0.40483870967741709</v>
      </c>
      <c r="K48" s="22"/>
      <c r="L48" s="22">
        <f t="shared" si="2"/>
        <v>0</v>
      </c>
      <c r="M48" s="6"/>
    </row>
    <row r="49" spans="1:17" x14ac:dyDescent="0.35">
      <c r="A49" s="21">
        <v>41730</v>
      </c>
      <c r="B49" s="22">
        <v>21.21</v>
      </c>
      <c r="C49" s="22"/>
      <c r="D49" s="25">
        <v>18.59</v>
      </c>
      <c r="E49" s="25"/>
      <c r="F49" s="22">
        <v>20.78</v>
      </c>
      <c r="G49" s="22"/>
      <c r="H49" s="22">
        <v>18.59</v>
      </c>
      <c r="I49" s="22"/>
      <c r="J49" s="22">
        <f t="shared" si="1"/>
        <v>0.42999999999999972</v>
      </c>
      <c r="K49" s="22"/>
      <c r="L49" s="22">
        <f t="shared" si="2"/>
        <v>0</v>
      </c>
      <c r="M49" s="6"/>
    </row>
    <row r="50" spans="1:17" x14ac:dyDescent="0.35">
      <c r="A50" s="21">
        <v>41740</v>
      </c>
      <c r="B50" s="22">
        <v>20.843333333333334</v>
      </c>
      <c r="C50" s="22"/>
      <c r="D50" s="25">
        <v>18.28</v>
      </c>
      <c r="E50" s="25"/>
      <c r="F50" s="22">
        <v>20.51</v>
      </c>
      <c r="G50" s="22"/>
      <c r="H50" s="22">
        <v>18.28</v>
      </c>
      <c r="I50" s="22"/>
      <c r="J50" s="22">
        <f t="shared" si="1"/>
        <v>0.33333333333333215</v>
      </c>
      <c r="K50" s="22"/>
      <c r="L50" s="22">
        <f t="shared" si="2"/>
        <v>0</v>
      </c>
      <c r="M50" s="6"/>
    </row>
    <row r="51" spans="1:17" x14ac:dyDescent="0.35">
      <c r="A51" s="21">
        <v>41750</v>
      </c>
      <c r="B51" s="22">
        <v>20.51</v>
      </c>
      <c r="C51" s="22"/>
      <c r="D51" s="25">
        <v>17.98</v>
      </c>
      <c r="E51" s="25"/>
      <c r="F51" s="22">
        <v>20.23</v>
      </c>
      <c r="G51" s="22"/>
      <c r="H51" s="22">
        <v>17.98</v>
      </c>
      <c r="I51" s="22"/>
      <c r="J51" s="22">
        <f t="shared" si="1"/>
        <v>0.28000000000000114</v>
      </c>
      <c r="K51" s="22"/>
      <c r="L51" s="22">
        <f t="shared" si="2"/>
        <v>0</v>
      </c>
      <c r="M51" s="6"/>
    </row>
    <row r="52" spans="1:17" x14ac:dyDescent="0.35">
      <c r="A52" s="21">
        <v>41760</v>
      </c>
      <c r="B52" s="22">
        <v>20.21</v>
      </c>
      <c r="C52" s="22"/>
      <c r="D52" s="25">
        <v>17.7</v>
      </c>
      <c r="E52" s="25"/>
      <c r="F52" s="22">
        <v>19.96</v>
      </c>
      <c r="G52" s="22"/>
      <c r="H52" s="22">
        <v>17.7</v>
      </c>
      <c r="I52" s="22"/>
      <c r="J52" s="22">
        <f t="shared" si="1"/>
        <v>0.25</v>
      </c>
      <c r="K52" s="22"/>
      <c r="L52" s="22">
        <f t="shared" si="2"/>
        <v>0</v>
      </c>
      <c r="M52" s="6"/>
    </row>
    <row r="53" spans="1:17" x14ac:dyDescent="0.35">
      <c r="A53" s="21">
        <v>41770</v>
      </c>
      <c r="B53" s="22">
        <v>20.025483870967744</v>
      </c>
      <c r="C53" s="22"/>
      <c r="D53" s="25">
        <v>17.48</v>
      </c>
      <c r="E53" s="25"/>
      <c r="F53" s="22">
        <v>19.78</v>
      </c>
      <c r="G53" s="22"/>
      <c r="H53" s="22">
        <v>17.48</v>
      </c>
      <c r="I53" s="22"/>
      <c r="J53" s="22">
        <f t="shared" si="1"/>
        <v>0.24548387096774249</v>
      </c>
      <c r="K53" s="22"/>
      <c r="L53" s="22">
        <f t="shared" si="2"/>
        <v>0</v>
      </c>
      <c r="M53" s="6"/>
    </row>
    <row r="54" spans="1:17" x14ac:dyDescent="0.35">
      <c r="A54" s="21">
        <v>41780</v>
      </c>
      <c r="B54" s="22">
        <v>19.857741935483872</v>
      </c>
      <c r="C54" s="22"/>
      <c r="D54" s="25">
        <v>17.45</v>
      </c>
      <c r="E54" s="25"/>
      <c r="F54" s="22">
        <v>19.61</v>
      </c>
      <c r="G54" s="22"/>
      <c r="H54" s="22">
        <v>17.45</v>
      </c>
      <c r="I54" s="22"/>
      <c r="J54" s="22">
        <f t="shared" si="1"/>
        <v>0.24774193548387302</v>
      </c>
      <c r="K54" s="22"/>
      <c r="L54" s="22">
        <f t="shared" si="2"/>
        <v>0</v>
      </c>
      <c r="M54" s="6"/>
    </row>
    <row r="55" spans="1:17" x14ac:dyDescent="0.35">
      <c r="A55" s="21">
        <v>41791</v>
      </c>
      <c r="B55" s="22">
        <v>19.690000000000001</v>
      </c>
      <c r="C55" s="22"/>
      <c r="D55" s="25">
        <v>17.399999999999999</v>
      </c>
      <c r="E55" s="25"/>
      <c r="F55" s="22">
        <v>19.43</v>
      </c>
      <c r="G55" s="22"/>
      <c r="H55" s="22">
        <v>17.399999999999999</v>
      </c>
      <c r="I55" s="22"/>
      <c r="J55" s="22">
        <f t="shared" si="1"/>
        <v>0.26000000000000156</v>
      </c>
      <c r="K55" s="22"/>
      <c r="L55" s="22">
        <f t="shared" si="2"/>
        <v>0</v>
      </c>
      <c r="M55" s="6"/>
    </row>
    <row r="56" spans="1:17" x14ac:dyDescent="0.35">
      <c r="A56" s="21">
        <v>41801</v>
      </c>
      <c r="B56" s="22">
        <v>19.437000000000001</v>
      </c>
      <c r="C56" s="22"/>
      <c r="D56" s="25">
        <v>17.38</v>
      </c>
      <c r="E56" s="25"/>
      <c r="F56" s="22">
        <v>19.22</v>
      </c>
      <c r="G56" s="22"/>
      <c r="H56" s="22">
        <v>17.38</v>
      </c>
      <c r="I56" s="22"/>
      <c r="J56" s="22">
        <f t="shared" si="1"/>
        <v>0.2170000000000023</v>
      </c>
      <c r="K56" s="22"/>
      <c r="L56" s="22">
        <f t="shared" si="2"/>
        <v>0</v>
      </c>
      <c r="M56" s="6"/>
    </row>
    <row r="57" spans="1:17" x14ac:dyDescent="0.35">
      <c r="A57" s="21">
        <v>41811</v>
      </c>
      <c r="B57" s="22">
        <v>19.207000000000001</v>
      </c>
      <c r="C57" s="22"/>
      <c r="D57" s="25">
        <v>17.350000000000001</v>
      </c>
      <c r="E57" s="25"/>
      <c r="F57" s="22">
        <v>19</v>
      </c>
      <c r="G57" s="22"/>
      <c r="H57" s="22">
        <v>17.350000000000001</v>
      </c>
      <c r="I57" s="22"/>
      <c r="J57" s="22">
        <f t="shared" si="1"/>
        <v>0.20700000000000074</v>
      </c>
      <c r="K57" s="22"/>
      <c r="L57" s="22">
        <f t="shared" si="2"/>
        <v>0</v>
      </c>
      <c r="M57" s="6"/>
    </row>
    <row r="58" spans="1:17" x14ac:dyDescent="0.35">
      <c r="A58" s="21">
        <v>41820</v>
      </c>
      <c r="B58" s="22">
        <v>19</v>
      </c>
      <c r="C58" s="22"/>
      <c r="D58" s="25">
        <v>17</v>
      </c>
      <c r="E58" s="25"/>
      <c r="F58" s="22">
        <v>19</v>
      </c>
      <c r="G58" s="22"/>
      <c r="H58" s="22">
        <v>17</v>
      </c>
      <c r="I58" s="22"/>
      <c r="J58" s="22">
        <f t="shared" si="1"/>
        <v>0</v>
      </c>
      <c r="K58" s="22"/>
      <c r="L58" s="22">
        <f t="shared" si="2"/>
        <v>0</v>
      </c>
      <c r="M58" s="6"/>
    </row>
    <row r="62" spans="1:17" ht="58.15" x14ac:dyDescent="0.35">
      <c r="A62" s="19" t="s">
        <v>29</v>
      </c>
      <c r="B62" s="1" t="s">
        <v>6</v>
      </c>
      <c r="C62" s="1"/>
      <c r="D62" s="1" t="s">
        <v>7</v>
      </c>
      <c r="E62" s="1"/>
      <c r="F62" s="1" t="s">
        <v>8</v>
      </c>
      <c r="G62" s="1"/>
      <c r="H62" s="1" t="s">
        <v>9</v>
      </c>
      <c r="I62" s="1"/>
      <c r="J62" s="1" t="s">
        <v>10</v>
      </c>
      <c r="K62" s="1"/>
      <c r="L62" s="1" t="s">
        <v>11</v>
      </c>
      <c r="M62" s="1"/>
      <c r="N62" s="1" t="s">
        <v>12</v>
      </c>
      <c r="O62" s="1"/>
      <c r="P62" s="1" t="s">
        <v>15</v>
      </c>
      <c r="Q62" s="29"/>
    </row>
    <row r="63" spans="1:17" x14ac:dyDescent="0.35">
      <c r="A63" s="23">
        <v>43837</v>
      </c>
      <c r="B63" s="22">
        <v>17</v>
      </c>
      <c r="C63" s="22"/>
      <c r="D63" s="22">
        <v>24.4</v>
      </c>
      <c r="E63" s="22"/>
      <c r="F63" s="22">
        <v>25.1</v>
      </c>
      <c r="G63" s="22"/>
      <c r="H63" s="22">
        <v>28</v>
      </c>
      <c r="I63" s="22"/>
      <c r="J63" s="22">
        <v>26.92</v>
      </c>
      <c r="K63" s="22"/>
      <c r="L63" s="22">
        <v>19</v>
      </c>
      <c r="M63" s="22"/>
      <c r="N63" s="22">
        <v>17</v>
      </c>
      <c r="O63" s="22"/>
      <c r="P63" s="22">
        <v>20.3</v>
      </c>
      <c r="Q63" s="6"/>
    </row>
    <row r="64" spans="1:17" x14ac:dyDescent="0.35">
      <c r="A64" s="2" t="s">
        <v>30</v>
      </c>
      <c r="B64" s="22">
        <v>17</v>
      </c>
      <c r="C64" s="22"/>
      <c r="D64" s="22">
        <v>24.4</v>
      </c>
      <c r="E64" s="22"/>
      <c r="F64" s="22">
        <v>25.1</v>
      </c>
      <c r="G64" s="22"/>
      <c r="H64" s="22">
        <v>28</v>
      </c>
      <c r="I64" s="22"/>
      <c r="J64" s="22">
        <v>26.92</v>
      </c>
      <c r="K64" s="22"/>
      <c r="L64" s="22">
        <v>19.234999999999999</v>
      </c>
      <c r="M64" s="22"/>
      <c r="N64" s="22">
        <v>17.164999999999999</v>
      </c>
      <c r="O64" s="22"/>
      <c r="P64" s="22">
        <v>21.2</v>
      </c>
      <c r="Q64" s="6"/>
    </row>
    <row r="65" spans="1:17" x14ac:dyDescent="0.35">
      <c r="A65" s="23">
        <v>43838</v>
      </c>
      <c r="B65" s="22">
        <v>17</v>
      </c>
      <c r="C65" s="22"/>
      <c r="D65" s="22">
        <v>24.4</v>
      </c>
      <c r="E65" s="22"/>
      <c r="F65" s="22">
        <v>25.1</v>
      </c>
      <c r="G65" s="22"/>
      <c r="H65" s="22">
        <v>28</v>
      </c>
      <c r="I65" s="22"/>
      <c r="J65" s="22">
        <v>26.92</v>
      </c>
      <c r="K65" s="22"/>
      <c r="L65" s="22">
        <v>19.47</v>
      </c>
      <c r="M65" s="22"/>
      <c r="N65" s="22">
        <v>17.329999999999998</v>
      </c>
      <c r="O65" s="22"/>
      <c r="P65" s="22">
        <v>22.1</v>
      </c>
      <c r="Q65" s="6"/>
    </row>
    <row r="66" spans="1:17" x14ac:dyDescent="0.35">
      <c r="A66" s="2" t="s">
        <v>31</v>
      </c>
      <c r="B66" s="22">
        <v>17</v>
      </c>
      <c r="C66" s="22"/>
      <c r="D66" s="22">
        <v>24.4</v>
      </c>
      <c r="E66" s="22"/>
      <c r="F66" s="22">
        <v>25.1</v>
      </c>
      <c r="G66" s="22"/>
      <c r="H66" s="22">
        <v>28</v>
      </c>
      <c r="I66" s="22"/>
      <c r="J66" s="22">
        <v>26.92</v>
      </c>
      <c r="K66" s="22"/>
      <c r="L66" s="22">
        <v>19.96</v>
      </c>
      <c r="M66" s="22"/>
      <c r="N66" s="22">
        <v>17.565000000000001</v>
      </c>
      <c r="O66" s="22"/>
      <c r="P66" s="22">
        <v>22.7</v>
      </c>
      <c r="Q66" s="6"/>
    </row>
    <row r="67" spans="1:17" x14ac:dyDescent="0.35">
      <c r="A67" s="23">
        <v>43839</v>
      </c>
      <c r="B67" s="22">
        <v>17</v>
      </c>
      <c r="C67" s="22"/>
      <c r="D67" s="22">
        <v>24.4</v>
      </c>
      <c r="E67" s="22"/>
      <c r="F67" s="22">
        <v>25.1</v>
      </c>
      <c r="G67" s="22"/>
      <c r="H67" s="22">
        <v>28</v>
      </c>
      <c r="I67" s="22"/>
      <c r="J67" s="22">
        <v>26.92</v>
      </c>
      <c r="K67" s="22"/>
      <c r="L67" s="22">
        <v>20.45</v>
      </c>
      <c r="M67" s="22"/>
      <c r="N67" s="22">
        <v>17.8</v>
      </c>
      <c r="O67" s="22"/>
      <c r="P67" s="22">
        <v>23.3</v>
      </c>
      <c r="Q67" s="6"/>
    </row>
    <row r="68" spans="1:17" x14ac:dyDescent="0.35">
      <c r="A68" s="2" t="s">
        <v>32</v>
      </c>
      <c r="B68" s="22">
        <v>17</v>
      </c>
      <c r="C68" s="22"/>
      <c r="D68" s="22">
        <v>24.4</v>
      </c>
      <c r="E68" s="22"/>
      <c r="F68" s="22">
        <v>25.1</v>
      </c>
      <c r="G68" s="22"/>
      <c r="H68" s="22">
        <v>28</v>
      </c>
      <c r="I68" s="22"/>
      <c r="J68" s="22">
        <v>26.92</v>
      </c>
      <c r="K68" s="22"/>
      <c r="L68" s="22">
        <v>21.344999999999999</v>
      </c>
      <c r="M68" s="22"/>
      <c r="N68" s="22">
        <v>18.68</v>
      </c>
      <c r="O68" s="22"/>
      <c r="P68" s="22">
        <v>23.65</v>
      </c>
      <c r="Q68" s="6"/>
    </row>
    <row r="69" spans="1:17" x14ac:dyDescent="0.35">
      <c r="A69" s="23">
        <v>43840</v>
      </c>
      <c r="B69" s="22">
        <v>17</v>
      </c>
      <c r="C69" s="22"/>
      <c r="D69" s="22">
        <v>24.4</v>
      </c>
      <c r="E69" s="22"/>
      <c r="F69" s="22">
        <v>25.1</v>
      </c>
      <c r="G69" s="22"/>
      <c r="H69" s="22">
        <v>28</v>
      </c>
      <c r="I69" s="22"/>
      <c r="J69" s="22">
        <v>26.92</v>
      </c>
      <c r="K69" s="22"/>
      <c r="L69" s="22">
        <v>22.24</v>
      </c>
      <c r="M69" s="22"/>
      <c r="N69" s="22">
        <v>19.559999999999999</v>
      </c>
      <c r="O69" s="22"/>
      <c r="P69" s="22">
        <v>24</v>
      </c>
      <c r="Q69" s="6"/>
    </row>
    <row r="70" spans="1:17" x14ac:dyDescent="0.35">
      <c r="A70" s="2" t="s">
        <v>16</v>
      </c>
      <c r="B70" s="22">
        <v>17</v>
      </c>
      <c r="C70" s="22"/>
      <c r="D70" s="22">
        <v>24.4</v>
      </c>
      <c r="E70" s="22"/>
      <c r="F70" s="22">
        <v>25.1</v>
      </c>
      <c r="G70" s="22"/>
      <c r="H70" s="22">
        <v>28</v>
      </c>
      <c r="I70" s="22"/>
      <c r="J70" s="22">
        <v>26.92</v>
      </c>
      <c r="K70" s="22"/>
      <c r="L70" s="22">
        <v>23.085000000000001</v>
      </c>
      <c r="M70" s="22"/>
      <c r="N70" s="22">
        <v>20.38</v>
      </c>
      <c r="O70" s="22"/>
      <c r="P70" s="22">
        <v>24.4</v>
      </c>
      <c r="Q70" s="6"/>
    </row>
    <row r="71" spans="1:17" x14ac:dyDescent="0.35">
      <c r="A71" s="23">
        <v>43841</v>
      </c>
      <c r="B71" s="22">
        <v>17</v>
      </c>
      <c r="C71" s="22"/>
      <c r="D71" s="22">
        <v>24.4</v>
      </c>
      <c r="E71" s="22"/>
      <c r="F71" s="22">
        <v>25.1</v>
      </c>
      <c r="G71" s="22"/>
      <c r="H71" s="22">
        <v>28</v>
      </c>
      <c r="I71" s="22"/>
      <c r="J71" s="22">
        <v>26.92</v>
      </c>
      <c r="K71" s="22"/>
      <c r="L71" s="22">
        <v>23.93</v>
      </c>
      <c r="M71" s="22"/>
      <c r="N71" s="22">
        <v>21.2</v>
      </c>
      <c r="O71" s="22"/>
      <c r="P71" s="22">
        <v>24.4</v>
      </c>
      <c r="Q71" s="6"/>
    </row>
    <row r="72" spans="1:17" x14ac:dyDescent="0.35">
      <c r="A72" s="21">
        <v>43842</v>
      </c>
      <c r="B72" s="22">
        <v>17</v>
      </c>
      <c r="C72" s="22"/>
      <c r="D72" s="22">
        <v>24.4</v>
      </c>
      <c r="E72" s="22"/>
      <c r="F72" s="22">
        <v>25.1</v>
      </c>
      <c r="G72" s="22"/>
      <c r="H72" s="22">
        <v>28</v>
      </c>
      <c r="I72" s="22"/>
      <c r="J72" s="22">
        <v>26.92</v>
      </c>
      <c r="K72" s="22"/>
      <c r="L72" s="22">
        <v>24.4</v>
      </c>
      <c r="M72" s="22"/>
      <c r="N72" s="25">
        <v>21.67</v>
      </c>
      <c r="O72" s="25"/>
      <c r="P72" s="22">
        <v>24.4</v>
      </c>
      <c r="Q72" s="6"/>
    </row>
    <row r="73" spans="1:17" x14ac:dyDescent="0.35">
      <c r="A73" s="23">
        <v>44147</v>
      </c>
      <c r="B73" s="22">
        <v>17</v>
      </c>
      <c r="C73" s="22"/>
      <c r="D73" s="22">
        <v>24.4</v>
      </c>
      <c r="E73" s="22"/>
      <c r="F73" s="22">
        <v>25.1</v>
      </c>
      <c r="G73" s="22"/>
      <c r="H73" s="22">
        <v>28</v>
      </c>
      <c r="I73" s="22"/>
      <c r="J73" s="22">
        <v>26.92</v>
      </c>
      <c r="K73" s="22"/>
      <c r="L73" s="22">
        <v>24.4</v>
      </c>
      <c r="M73" s="22"/>
      <c r="N73" s="25">
        <v>21.6</v>
      </c>
      <c r="O73" s="25"/>
      <c r="P73" s="22"/>
      <c r="Q73" s="6"/>
    </row>
    <row r="74" spans="1:17" x14ac:dyDescent="0.35">
      <c r="A74" s="2" t="s">
        <v>17</v>
      </c>
      <c r="B74" s="22">
        <v>17</v>
      </c>
      <c r="C74" s="22"/>
      <c r="D74" s="22">
        <v>24.4</v>
      </c>
      <c r="E74" s="22"/>
      <c r="F74" s="22">
        <v>25.1</v>
      </c>
      <c r="G74" s="22"/>
      <c r="H74" s="22">
        <v>28</v>
      </c>
      <c r="I74" s="22"/>
      <c r="J74" s="22">
        <v>26.92</v>
      </c>
      <c r="K74" s="22"/>
      <c r="L74" s="22">
        <v>24.4</v>
      </c>
      <c r="M74" s="22"/>
      <c r="N74" s="25">
        <v>21.55</v>
      </c>
      <c r="O74" s="25"/>
      <c r="P74" s="22"/>
      <c r="Q74" s="6"/>
    </row>
    <row r="75" spans="1:17" x14ac:dyDescent="0.35">
      <c r="A75" s="23">
        <v>43831</v>
      </c>
      <c r="B75" s="22">
        <v>17</v>
      </c>
      <c r="C75" s="22"/>
      <c r="D75" s="22">
        <v>24.4</v>
      </c>
      <c r="E75" s="22"/>
      <c r="F75" s="22">
        <v>25.1</v>
      </c>
      <c r="G75" s="22"/>
      <c r="H75" s="22">
        <v>28</v>
      </c>
      <c r="I75" s="22"/>
      <c r="J75" s="22">
        <v>26.92</v>
      </c>
      <c r="K75" s="22"/>
      <c r="L75" s="22">
        <v>24.4</v>
      </c>
      <c r="M75" s="22"/>
      <c r="N75" s="25">
        <v>21.5</v>
      </c>
      <c r="O75" s="25"/>
      <c r="P75" s="22"/>
      <c r="Q75" s="6"/>
    </row>
    <row r="76" spans="1:17" x14ac:dyDescent="0.35">
      <c r="A76" s="23">
        <v>44136</v>
      </c>
      <c r="B76" s="22">
        <v>17</v>
      </c>
      <c r="C76" s="22"/>
      <c r="D76" s="22">
        <v>24.4</v>
      </c>
      <c r="E76" s="22"/>
      <c r="F76" s="22">
        <v>25.1</v>
      </c>
      <c r="G76" s="22"/>
      <c r="H76" s="22">
        <v>28</v>
      </c>
      <c r="I76" s="22"/>
      <c r="J76" s="22">
        <v>26.92</v>
      </c>
      <c r="K76" s="22"/>
      <c r="L76" s="22">
        <v>24.187096774193549</v>
      </c>
      <c r="M76" s="22"/>
      <c r="N76" s="25">
        <v>21.21</v>
      </c>
      <c r="O76" s="25"/>
      <c r="P76" s="22"/>
      <c r="Q76" s="6"/>
    </row>
    <row r="77" spans="1:17" x14ac:dyDescent="0.35">
      <c r="A77" s="2" t="s">
        <v>33</v>
      </c>
      <c r="B77" s="22">
        <v>17</v>
      </c>
      <c r="C77" s="22"/>
      <c r="D77" s="22">
        <v>24.4</v>
      </c>
      <c r="E77" s="22"/>
      <c r="F77" s="22">
        <v>25.1</v>
      </c>
      <c r="G77" s="22"/>
      <c r="H77" s="22">
        <v>28</v>
      </c>
      <c r="I77" s="22"/>
      <c r="J77" s="22">
        <v>26.92</v>
      </c>
      <c r="K77" s="22"/>
      <c r="L77" s="22">
        <v>23.993548387096773</v>
      </c>
      <c r="M77" s="22"/>
      <c r="N77" s="25">
        <v>21.03</v>
      </c>
      <c r="O77" s="25"/>
      <c r="P77" s="22"/>
      <c r="Q77" s="6"/>
    </row>
    <row r="78" spans="1:17" x14ac:dyDescent="0.35">
      <c r="A78" s="23">
        <v>43832</v>
      </c>
      <c r="B78" s="22">
        <v>17</v>
      </c>
      <c r="C78" s="22"/>
      <c r="D78" s="22">
        <v>24.4</v>
      </c>
      <c r="E78" s="22"/>
      <c r="F78" s="22">
        <v>25.1</v>
      </c>
      <c r="G78" s="22"/>
      <c r="H78" s="22">
        <v>28</v>
      </c>
      <c r="I78" s="22"/>
      <c r="J78" s="22">
        <v>26.92</v>
      </c>
      <c r="K78" s="22"/>
      <c r="L78" s="22">
        <v>23.8</v>
      </c>
      <c r="M78" s="22"/>
      <c r="N78" s="25">
        <v>20.81</v>
      </c>
      <c r="O78" s="25"/>
      <c r="P78" s="22"/>
      <c r="Q78" s="6"/>
    </row>
    <row r="79" spans="1:17" x14ac:dyDescent="0.35">
      <c r="A79" s="23">
        <v>44137</v>
      </c>
      <c r="B79" s="22">
        <v>17</v>
      </c>
      <c r="C79" s="22"/>
      <c r="D79" s="22">
        <v>24.4</v>
      </c>
      <c r="E79" s="22"/>
      <c r="F79" s="22">
        <v>25.1</v>
      </c>
      <c r="G79" s="22"/>
      <c r="H79" s="22">
        <v>28</v>
      </c>
      <c r="I79" s="22"/>
      <c r="J79" s="22">
        <v>26.92</v>
      </c>
      <c r="K79" s="22"/>
      <c r="L79" s="22">
        <v>23.336428571428574</v>
      </c>
      <c r="M79" s="22"/>
      <c r="N79" s="25">
        <v>20.51</v>
      </c>
      <c r="O79" s="25"/>
      <c r="P79" s="22"/>
      <c r="Q79" s="6"/>
    </row>
    <row r="80" spans="1:17" x14ac:dyDescent="0.35">
      <c r="A80" s="2" t="s">
        <v>34</v>
      </c>
      <c r="B80" s="22">
        <v>17</v>
      </c>
      <c r="C80" s="22"/>
      <c r="D80" s="22">
        <v>24.4</v>
      </c>
      <c r="E80" s="22"/>
      <c r="F80" s="22">
        <v>25.1</v>
      </c>
      <c r="G80" s="22"/>
      <c r="H80" s="22">
        <v>28</v>
      </c>
      <c r="I80" s="22"/>
      <c r="J80" s="22">
        <v>26.92</v>
      </c>
      <c r="K80" s="22"/>
      <c r="L80" s="22">
        <v>22.914999999999999</v>
      </c>
      <c r="M80" s="22"/>
      <c r="N80" s="25">
        <v>20.21</v>
      </c>
      <c r="O80" s="25"/>
      <c r="P80" s="22"/>
      <c r="Q80" s="6"/>
    </row>
    <row r="81" spans="1:17" x14ac:dyDescent="0.35">
      <c r="A81" s="23">
        <v>43833</v>
      </c>
      <c r="B81" s="22">
        <v>17</v>
      </c>
      <c r="C81" s="22"/>
      <c r="D81" s="22">
        <v>24.4</v>
      </c>
      <c r="E81" s="22"/>
      <c r="F81" s="22">
        <v>25.1</v>
      </c>
      <c r="G81" s="22"/>
      <c r="H81" s="22">
        <v>28</v>
      </c>
      <c r="I81" s="22"/>
      <c r="J81" s="22">
        <v>26.92</v>
      </c>
      <c r="K81" s="22"/>
      <c r="L81" s="22">
        <v>22.62</v>
      </c>
      <c r="M81" s="22"/>
      <c r="N81" s="25">
        <v>19.97</v>
      </c>
      <c r="O81" s="25"/>
      <c r="P81" s="22"/>
      <c r="Q81" s="6"/>
    </row>
    <row r="82" spans="1:17" x14ac:dyDescent="0.35">
      <c r="A82" s="23">
        <v>44138</v>
      </c>
      <c r="B82" s="22">
        <v>17</v>
      </c>
      <c r="C82" s="22"/>
      <c r="D82" s="22">
        <v>24.4</v>
      </c>
      <c r="E82" s="22"/>
      <c r="F82" s="22">
        <v>25.1</v>
      </c>
      <c r="G82" s="22"/>
      <c r="H82" s="22">
        <v>28</v>
      </c>
      <c r="I82" s="22"/>
      <c r="J82" s="22">
        <v>26.92</v>
      </c>
      <c r="K82" s="22"/>
      <c r="L82" s="22">
        <v>22.11967741935484</v>
      </c>
      <c r="M82" s="22"/>
      <c r="N82" s="25">
        <v>19.46</v>
      </c>
      <c r="O82" s="25"/>
      <c r="P82" s="22"/>
      <c r="Q82" s="6"/>
    </row>
    <row r="83" spans="1:17" x14ac:dyDescent="0.35">
      <c r="A83" s="2" t="s">
        <v>35</v>
      </c>
      <c r="B83" s="22">
        <v>17</v>
      </c>
      <c r="C83" s="22"/>
      <c r="D83" s="22">
        <v>24.4</v>
      </c>
      <c r="E83" s="22"/>
      <c r="F83" s="22">
        <v>25.1</v>
      </c>
      <c r="G83" s="22"/>
      <c r="H83" s="22">
        <v>28</v>
      </c>
      <c r="I83" s="22"/>
      <c r="J83" s="22">
        <v>26.92</v>
      </c>
      <c r="K83" s="22"/>
      <c r="L83" s="22">
        <v>21.664838709677419</v>
      </c>
      <c r="M83" s="22"/>
      <c r="N83" s="25">
        <v>19.03</v>
      </c>
      <c r="O83" s="25"/>
      <c r="P83" s="22"/>
      <c r="Q83" s="6"/>
    </row>
    <row r="84" spans="1:17" x14ac:dyDescent="0.35">
      <c r="A84" s="23">
        <v>43834</v>
      </c>
      <c r="B84" s="22">
        <v>17</v>
      </c>
      <c r="C84" s="22"/>
      <c r="D84" s="22">
        <v>24.4</v>
      </c>
      <c r="E84" s="22"/>
      <c r="F84" s="22">
        <v>25.1</v>
      </c>
      <c r="G84" s="22"/>
      <c r="H84" s="22">
        <v>28</v>
      </c>
      <c r="I84" s="22"/>
      <c r="J84" s="22">
        <v>26.92</v>
      </c>
      <c r="K84" s="22"/>
      <c r="L84" s="22">
        <v>21.21</v>
      </c>
      <c r="M84" s="22"/>
      <c r="N84" s="25">
        <v>18.59</v>
      </c>
      <c r="O84" s="25"/>
      <c r="P84" s="22"/>
      <c r="Q84" s="6"/>
    </row>
    <row r="85" spans="1:17" x14ac:dyDescent="0.35">
      <c r="A85" s="23">
        <v>44139</v>
      </c>
      <c r="B85" s="22">
        <v>17</v>
      </c>
      <c r="C85" s="22"/>
      <c r="D85" s="22">
        <v>24.4</v>
      </c>
      <c r="E85" s="22"/>
      <c r="F85" s="22">
        <v>25.1</v>
      </c>
      <c r="G85" s="22"/>
      <c r="H85" s="22">
        <v>28</v>
      </c>
      <c r="I85" s="22"/>
      <c r="J85" s="22">
        <v>26.92</v>
      </c>
      <c r="K85" s="22"/>
      <c r="L85" s="22">
        <v>20.843333333333334</v>
      </c>
      <c r="M85" s="22"/>
      <c r="N85" s="25">
        <v>18.28</v>
      </c>
      <c r="O85" s="25"/>
      <c r="P85" s="22"/>
      <c r="Q85" s="6"/>
    </row>
    <row r="86" spans="1:17" x14ac:dyDescent="0.35">
      <c r="A86" s="2" t="s">
        <v>36</v>
      </c>
      <c r="B86" s="22">
        <v>17</v>
      </c>
      <c r="C86" s="22"/>
      <c r="D86" s="22">
        <v>24.4</v>
      </c>
      <c r="E86" s="22"/>
      <c r="F86" s="22">
        <v>25.1</v>
      </c>
      <c r="G86" s="22"/>
      <c r="H86" s="22">
        <v>28</v>
      </c>
      <c r="I86" s="22"/>
      <c r="J86" s="22">
        <v>26.92</v>
      </c>
      <c r="K86" s="22"/>
      <c r="L86" s="22">
        <v>20.51</v>
      </c>
      <c r="M86" s="22"/>
      <c r="N86" s="25">
        <v>17.98</v>
      </c>
      <c r="O86" s="25"/>
      <c r="P86" s="22"/>
      <c r="Q86" s="6"/>
    </row>
    <row r="87" spans="1:17" x14ac:dyDescent="0.35">
      <c r="A87" s="23">
        <v>43835</v>
      </c>
      <c r="B87" s="22">
        <v>17</v>
      </c>
      <c r="C87" s="22"/>
      <c r="D87" s="22">
        <v>24.4</v>
      </c>
      <c r="E87" s="22"/>
      <c r="F87" s="22">
        <v>25.1</v>
      </c>
      <c r="G87" s="22"/>
      <c r="H87" s="22">
        <v>28</v>
      </c>
      <c r="I87" s="22"/>
      <c r="J87" s="22">
        <v>26.92</v>
      </c>
      <c r="K87" s="22"/>
      <c r="L87" s="22">
        <v>20.21</v>
      </c>
      <c r="M87" s="22"/>
      <c r="N87" s="25">
        <v>17.7</v>
      </c>
      <c r="O87" s="25"/>
      <c r="P87" s="22"/>
      <c r="Q87" s="6"/>
    </row>
    <row r="88" spans="1:17" x14ac:dyDescent="0.35">
      <c r="A88" s="23">
        <v>44140</v>
      </c>
      <c r="B88" s="22">
        <v>17</v>
      </c>
      <c r="C88" s="22"/>
      <c r="D88" s="22">
        <v>24.4</v>
      </c>
      <c r="E88" s="22"/>
      <c r="F88" s="22">
        <v>25.1</v>
      </c>
      <c r="G88" s="22"/>
      <c r="H88" s="22">
        <v>28</v>
      </c>
      <c r="I88" s="22"/>
      <c r="J88" s="22">
        <v>26.92</v>
      </c>
      <c r="K88" s="22"/>
      <c r="L88" s="22">
        <v>20.025483870967744</v>
      </c>
      <c r="M88" s="22"/>
      <c r="N88" s="25">
        <v>17.48</v>
      </c>
      <c r="O88" s="25"/>
      <c r="P88" s="22"/>
      <c r="Q88" s="6"/>
    </row>
    <row r="89" spans="1:17" x14ac:dyDescent="0.35">
      <c r="A89" s="2" t="s">
        <v>37</v>
      </c>
      <c r="B89" s="22">
        <v>17</v>
      </c>
      <c r="C89" s="22"/>
      <c r="D89" s="22">
        <v>24.4</v>
      </c>
      <c r="E89" s="22"/>
      <c r="F89" s="22">
        <v>25.1</v>
      </c>
      <c r="G89" s="22"/>
      <c r="H89" s="22">
        <v>28</v>
      </c>
      <c r="I89" s="22"/>
      <c r="J89" s="22">
        <v>26.92</v>
      </c>
      <c r="K89" s="22"/>
      <c r="L89" s="22">
        <v>19.857741935483872</v>
      </c>
      <c r="M89" s="22"/>
      <c r="N89" s="25">
        <v>17.45</v>
      </c>
      <c r="O89" s="25"/>
      <c r="P89" s="22"/>
      <c r="Q89" s="6"/>
    </row>
    <row r="90" spans="1:17" x14ac:dyDescent="0.35">
      <c r="A90" s="23">
        <v>43836</v>
      </c>
      <c r="B90" s="22">
        <v>17</v>
      </c>
      <c r="C90" s="22"/>
      <c r="D90" s="22">
        <v>24.4</v>
      </c>
      <c r="E90" s="22"/>
      <c r="F90" s="22">
        <v>25.1</v>
      </c>
      <c r="G90" s="22"/>
      <c r="H90" s="22">
        <v>28</v>
      </c>
      <c r="I90" s="22"/>
      <c r="J90" s="22">
        <v>26.92</v>
      </c>
      <c r="K90" s="22"/>
      <c r="L90" s="22">
        <v>19.690000000000001</v>
      </c>
      <c r="M90" s="22"/>
      <c r="N90" s="25">
        <v>17.399999999999999</v>
      </c>
      <c r="O90" s="25"/>
      <c r="P90" s="22"/>
      <c r="Q90" s="6"/>
    </row>
    <row r="91" spans="1:17" x14ac:dyDescent="0.35">
      <c r="A91" s="23">
        <v>44141</v>
      </c>
      <c r="B91" s="22">
        <v>17</v>
      </c>
      <c r="C91" s="22"/>
      <c r="D91" s="22">
        <v>24.4</v>
      </c>
      <c r="E91" s="22"/>
      <c r="F91" s="22">
        <v>25.1</v>
      </c>
      <c r="G91" s="22"/>
      <c r="H91" s="22">
        <v>28</v>
      </c>
      <c r="I91" s="22"/>
      <c r="J91" s="22">
        <v>26.92</v>
      </c>
      <c r="K91" s="22"/>
      <c r="L91" s="22">
        <v>19.437000000000001</v>
      </c>
      <c r="M91" s="22"/>
      <c r="N91" s="25">
        <v>17.38</v>
      </c>
      <c r="O91" s="25"/>
      <c r="P91" s="22"/>
      <c r="Q91" s="6"/>
    </row>
    <row r="92" spans="1:17" x14ac:dyDescent="0.35">
      <c r="A92" s="2" t="s">
        <v>38</v>
      </c>
      <c r="B92" s="22">
        <v>17</v>
      </c>
      <c r="C92" s="22"/>
      <c r="D92" s="22">
        <v>24.4</v>
      </c>
      <c r="E92" s="22"/>
      <c r="F92" s="22">
        <v>25.1</v>
      </c>
      <c r="G92" s="22"/>
      <c r="H92" s="22">
        <v>28</v>
      </c>
      <c r="I92" s="22"/>
      <c r="J92" s="22">
        <v>26.92</v>
      </c>
      <c r="K92" s="22"/>
      <c r="L92" s="22">
        <v>19.207000000000001</v>
      </c>
      <c r="M92" s="22"/>
      <c r="N92" s="25">
        <v>17.350000000000001</v>
      </c>
      <c r="O92" s="25"/>
      <c r="P92" s="22"/>
      <c r="Q92" s="6"/>
    </row>
    <row r="93" spans="1:17" x14ac:dyDescent="0.35">
      <c r="A93" s="2" t="s">
        <v>39</v>
      </c>
      <c r="B93" s="22">
        <v>17</v>
      </c>
      <c r="C93" s="22"/>
      <c r="D93" s="22">
        <v>24.4</v>
      </c>
      <c r="E93" s="22"/>
      <c r="F93" s="22">
        <v>25.1</v>
      </c>
      <c r="G93" s="22"/>
      <c r="H93" s="22">
        <v>28</v>
      </c>
      <c r="I93" s="22"/>
      <c r="J93" s="22">
        <v>26.92</v>
      </c>
      <c r="K93" s="22"/>
      <c r="L93" s="22">
        <v>19</v>
      </c>
      <c r="M93" s="22"/>
      <c r="N93" s="25">
        <v>17</v>
      </c>
      <c r="O93" s="25"/>
      <c r="P93" s="22"/>
      <c r="Q93" s="6"/>
    </row>
  </sheetData>
  <mergeCells count="4">
    <mergeCell ref="B26:D26"/>
    <mergeCell ref="F26:H26"/>
    <mergeCell ref="J26:L26"/>
    <mergeCell ref="A26:A27"/>
  </mergeCells>
  <phoneticPr fontId="1" type="noConversion"/>
  <pageMargins left="0.4" right="0.18" top="1" bottom="1" header="0.5" footer="0.5"/>
  <pageSetup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</vt:vector>
  </HeadingPairs>
  <TitlesOfParts>
    <vt:vector size="5" baseType="lpstr">
      <vt:lpstr>bang so lieu (sua) (4)</vt:lpstr>
      <vt:lpstr>bang so lieu (sua) (3)</vt:lpstr>
      <vt:lpstr>so sanh lien ho (4)</vt:lpstr>
      <vt:lpstr>BĐ ĐP CHON 2020+OK</vt:lpstr>
      <vt:lpstr>so sanh lien ho (3)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Nguyen Chi Trong</cp:lastModifiedBy>
  <cp:lastPrinted>2025-07-29T08:42:52Z</cp:lastPrinted>
  <dcterms:created xsi:type="dcterms:W3CDTF">2009-08-08T09:39:31Z</dcterms:created>
  <dcterms:modified xsi:type="dcterms:W3CDTF">2025-08-05T10:45:01Z</dcterms:modified>
</cp:coreProperties>
</file>